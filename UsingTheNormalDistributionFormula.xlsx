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https://rice-my.sharepoint.com/personal/gm47_rice_edu/Documents/Data Science/BasicDataDescriptorsStatiticalDistributionsAndAplications/Module3/"/>
    </mc:Choice>
  </mc:AlternateContent>
  <xr:revisionPtr revIDLastSave="7" documentId="8_{89A948F1-07B6-3E4C-8E4B-EDE3CCD85FA2}" xr6:coauthVersionLast="47" xr6:coauthVersionMax="47" xr10:uidLastSave="{BFF5D43A-AD3F-044F-A94E-1A825A929DE9}"/>
  <bookViews>
    <workbookView xWindow="0" yWindow="0" windowWidth="28800" windowHeight="18000" xr2:uid="{EC078310-EE92-9942-8129-5C4222F62FE2}"/>
  </bookViews>
  <sheets>
    <sheet name="Airline Problem" sheetId="1" r:id="rId1"/>
    <sheet name="Production Problem"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8" i="1" l="1"/>
  <c r="B20" i="2"/>
  <c r="B19" i="2"/>
  <c r="B18" i="2"/>
  <c r="B21" i="2" s="1"/>
  <c r="B9" i="2"/>
  <c r="B8" i="2"/>
  <c r="B7" i="2"/>
  <c r="B10" i="2" s="1"/>
  <c r="B3" i="2"/>
  <c r="H11" i="1"/>
  <c r="H10" i="1"/>
  <c r="H9" i="1"/>
  <c r="H6" i="1"/>
  <c r="H7" i="1"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4" i="1"/>
  <c r="D3" i="1"/>
  <c r="D2" i="1"/>
  <c r="E2" i="1" s="1"/>
  <c r="C5" i="1"/>
  <c r="C7" i="1"/>
  <c r="C8" i="1"/>
  <c r="C12" i="1"/>
  <c r="C13" i="1"/>
  <c r="C14" i="1"/>
  <c r="C21" i="1"/>
  <c r="C22" i="1"/>
  <c r="C23" i="1"/>
  <c r="C24" i="1"/>
  <c r="C37" i="1"/>
  <c r="C38" i="1"/>
  <c r="C39" i="1"/>
  <c r="C45" i="1"/>
  <c r="C46" i="1"/>
  <c r="C47" i="1"/>
  <c r="C48" i="1"/>
  <c r="C53" i="1"/>
  <c r="C61" i="1"/>
  <c r="C62" i="1"/>
  <c r="C63" i="1"/>
  <c r="C64" i="1"/>
  <c r="B5" i="1"/>
  <c r="B6" i="1"/>
  <c r="C6" i="1" s="1"/>
  <c r="B7" i="1"/>
  <c r="B8" i="1"/>
  <c r="B9" i="1"/>
  <c r="C9" i="1" s="1"/>
  <c r="B10" i="1"/>
  <c r="C10" i="1" s="1"/>
  <c r="B11" i="1"/>
  <c r="C11" i="1" s="1"/>
  <c r="B12" i="1"/>
  <c r="B13" i="1"/>
  <c r="B14" i="1"/>
  <c r="B15" i="1"/>
  <c r="C15" i="1" s="1"/>
  <c r="B16" i="1"/>
  <c r="C16" i="1" s="1"/>
  <c r="B17" i="1"/>
  <c r="C17" i="1" s="1"/>
  <c r="B18" i="1"/>
  <c r="C18" i="1" s="1"/>
  <c r="B19" i="1"/>
  <c r="C19" i="1" s="1"/>
  <c r="B20" i="1"/>
  <c r="C20" i="1" s="1"/>
  <c r="B21" i="1"/>
  <c r="B22" i="1"/>
  <c r="B23" i="1"/>
  <c r="B24" i="1"/>
  <c r="B25" i="1"/>
  <c r="C25" i="1" s="1"/>
  <c r="B26" i="1"/>
  <c r="C26" i="1" s="1"/>
  <c r="B27" i="1"/>
  <c r="C27" i="1" s="1"/>
  <c r="B28" i="1"/>
  <c r="C28" i="1" s="1"/>
  <c r="B29" i="1"/>
  <c r="C29" i="1" s="1"/>
  <c r="B30" i="1"/>
  <c r="C30" i="1" s="1"/>
  <c r="B31" i="1"/>
  <c r="C31" i="1" s="1"/>
  <c r="B32" i="1"/>
  <c r="C32" i="1" s="1"/>
  <c r="B33" i="1"/>
  <c r="C33" i="1" s="1"/>
  <c r="B34" i="1"/>
  <c r="C34" i="1" s="1"/>
  <c r="B35" i="1"/>
  <c r="C35" i="1" s="1"/>
  <c r="B36" i="1"/>
  <c r="C36" i="1" s="1"/>
  <c r="B37" i="1"/>
  <c r="B38" i="1"/>
  <c r="B39" i="1"/>
  <c r="B40" i="1"/>
  <c r="C40" i="1" s="1"/>
  <c r="B41" i="1"/>
  <c r="C41" i="1" s="1"/>
  <c r="B42" i="1"/>
  <c r="C42" i="1" s="1"/>
  <c r="B43" i="1"/>
  <c r="C43" i="1" s="1"/>
  <c r="B44" i="1"/>
  <c r="C44" i="1" s="1"/>
  <c r="B45" i="1"/>
  <c r="B46" i="1"/>
  <c r="B47" i="1"/>
  <c r="B48" i="1"/>
  <c r="B49" i="1"/>
  <c r="C49" i="1" s="1"/>
  <c r="B50" i="1"/>
  <c r="C50" i="1" s="1"/>
  <c r="B51" i="1"/>
  <c r="C51" i="1" s="1"/>
  <c r="B52" i="1"/>
  <c r="C52" i="1" s="1"/>
  <c r="B53" i="1"/>
  <c r="B54" i="1"/>
  <c r="C54" i="1" s="1"/>
  <c r="B55" i="1"/>
  <c r="C55" i="1" s="1"/>
  <c r="B56" i="1"/>
  <c r="C56" i="1" s="1"/>
  <c r="B57" i="1"/>
  <c r="C57" i="1" s="1"/>
  <c r="B58" i="1"/>
  <c r="C58" i="1" s="1"/>
  <c r="B59" i="1"/>
  <c r="C59" i="1" s="1"/>
  <c r="B60" i="1"/>
  <c r="C60" i="1" s="1"/>
  <c r="B61" i="1"/>
  <c r="B62" i="1"/>
  <c r="B63" i="1"/>
  <c r="B64" i="1"/>
  <c r="B65" i="1"/>
  <c r="C65" i="1" s="1"/>
  <c r="B4" i="1"/>
  <c r="C4" i="1" s="1"/>
  <c r="B3" i="1"/>
  <c r="C3" i="1" s="1"/>
  <c r="B2" i="1"/>
  <c r="C2" i="1" s="1"/>
</calcChain>
</file>

<file path=xl/sharedStrings.xml><?xml version="1.0" encoding="utf-8"?>
<sst xmlns="http://schemas.openxmlformats.org/spreadsheetml/2006/main" count="30" uniqueCount="30">
  <si>
    <t>Total number of passengers</t>
  </si>
  <si>
    <t>Variable Cost</t>
  </si>
  <si>
    <t>Total Cost</t>
  </si>
  <si>
    <t>Revenue</t>
  </si>
  <si>
    <t>Profit</t>
  </si>
  <si>
    <t>Number of overbooked flights</t>
  </si>
  <si>
    <t>Cost for each overbooked passenger</t>
  </si>
  <si>
    <t>Profit from flying with 64 passengers after having sold 72 tickets</t>
  </si>
  <si>
    <t>Probability that the number of passengers who show up will result in an overbooked flight</t>
  </si>
  <si>
    <t>Calcualte X value such that there is a 0.10 probability that more than X passengers show up.</t>
  </si>
  <si>
    <t>Probability that less than or equal to 60 passengers show up</t>
  </si>
  <si>
    <t>Probability of rejection under Process A</t>
  </si>
  <si>
    <t>Probability of rejection under Process B</t>
  </si>
  <si>
    <t>Probability of rejection under Process C</t>
  </si>
  <si>
    <t>Minimum probability of rejection</t>
  </si>
  <si>
    <t>Revenue for every pipe that gets accepted</t>
  </si>
  <si>
    <t>Cost per pipe under Process A</t>
  </si>
  <si>
    <t>Cost per pipe under Process B</t>
  </si>
  <si>
    <t>Cost per pipe under Process C</t>
  </si>
  <si>
    <t>Expected profit under Process A</t>
  </si>
  <si>
    <t>Expected profit under Process B</t>
  </si>
  <si>
    <t>Expected profit under Process C</t>
  </si>
  <si>
    <t xml:space="preserve">Maximum expected profit </t>
  </si>
  <si>
    <t>Under Process C, what is the probability it will have its pipe rejected by the utility company?</t>
  </si>
  <si>
    <t>About this dataset</t>
  </si>
  <si>
    <t>A new airline company has a commuter airplane that can hold up to 64 passengers.  The plane flies a single route and charges passengers $300 for a one-way fare.  All fares are 100% refundable if the passenger does not show up for the flight. The fixed cost (the cost that does not change with the number of passengers, such as crew salaries, airport fees, etc) for every flight is $1,000. The variable cost (the additional cost per passenger) for every flight is $150 per passenger.</t>
  </si>
  <si>
    <t xml:space="preserve">Because they have a full refund policy, it is common for customers not to show up.  Airline company management is wondering if it would make financial sense to overbook the flight and risk having not enough seats for all passengers that show up.  In that case, the airline would find volunteers to give up their seats in exchange for a free ticket to the same destination on the next available flight.  This would cost $100 for each overbooked passenger. </t>
  </si>
  <si>
    <t>XYZ Company produces copper pipes to be supplied to a local utility company. The requirement of the utility company is that the pipes need to be 200 cm of length.  Longer pipes are acceptable to the utility company but any pipe less than 200 cm is summarily rejected and has to be scrapped. The XYZ Company loses all its production cost on pipes that are rejected. 
The production process is such that it has some variability in the lengths of pipes produced, and this variability can be well approximated by a Normal distribution. The company can adopt one of the following three production processes:
Process A: Produces pipes with an average length of 200 cm and a standard deviation of 0.5 cm
Process B: Produces pipes with an average length of 201 cm and a standard deviation of 1 cm
Process C: Produces pipes with an average length of 202 cm and a standard deviation of 1.5 cm</t>
  </si>
  <si>
    <t>The utility company temporarily changes its requirements and has a new requirement that it will accept any pipe of length from 199 cm till 202 cm. That is, pipes ranging in length from 199 cm to 202 cm will be accepted, others will be rejected.</t>
  </si>
  <si>
    <t>XYZ Company earns a revenue of $200 for every pipe that gets accepted and loses all money for any pipe that is rejected. The cost of producing the pipes is $140 per pipe if production process “A” is used, $160 per pipe if production process “B” is used, and $177 per pipe if production process “C” is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</si>
</sst>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00"/>
  </numFmts>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0" fillId="0" borderId="0" xfId="0" applyAlignment="1"/>
    <xf numFmtId="0" fontId="1" fillId="0" borderId="0" xfId="0" applyFont="1" applyAlignment="1">
      <alignment wrapText="1"/>
    </xf>
    <xf numFmtId="168" fontId="0" fillId="0" borderId="0" xfId="0" applyNumberFormat="1" applyAlignment="1">
      <alignment wrapText="1"/>
    </xf>
    <xf numFmtId="2" fontId="0" fillId="0" borderId="0" xfId="0" applyNumberFormat="1" applyAlignment="1">
      <alignment wrapText="1"/>
    </xf>
    <xf numFmtId="0" fontId="1" fillId="0" borderId="0" xfId="0" applyFont="1" applyAlignment="1"/>
    <xf numFmtId="168" fontId="0" fillId="0" borderId="0" xfId="0" applyNumberFormat="1" applyAlignment="1"/>
    <xf numFmtId="1" fontId="0" fillId="0" borderId="0" xfId="0" applyNumberFormat="1" applyAlignment="1"/>
    <xf numFmtId="2" fontId="0" fillId="0" borderId="0" xfId="0" applyNumberFormat="1" applyAlignment="1"/>
    <xf numFmtId="168" fontId="1" fillId="0" borderId="0" xfId="0" applyNumberFormat="1" applyFont="1" applyAlignment="1">
      <alignment wrapText="1"/>
    </xf>
    <xf numFmtId="2" fontId="1"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C8B04-23EC-CF43-82E2-C0021D01DBC2}">
  <dimension ref="A1:N65"/>
  <sheetViews>
    <sheetView tabSelected="1" workbookViewId="0">
      <selection activeCell="H4" sqref="H4"/>
    </sheetView>
  </sheetViews>
  <sheetFormatPr baseColWidth="10" defaultRowHeight="16" x14ac:dyDescent="0.2"/>
  <cols>
    <col min="1" max="1" width="24.1640625" style="2" customWidth="1"/>
    <col min="2" max="2" width="12.83203125" style="2" customWidth="1"/>
    <col min="3" max="6" width="10.83203125" style="2"/>
    <col min="7" max="7" width="75" style="2" customWidth="1"/>
    <col min="8" max="8" width="10.83203125" style="7"/>
    <col min="9" max="16384" width="10.83203125" style="2"/>
  </cols>
  <sheetData>
    <row r="1" spans="1:14" x14ac:dyDescent="0.2">
      <c r="A1" s="2" t="s">
        <v>0</v>
      </c>
      <c r="B1" s="2" t="s">
        <v>1</v>
      </c>
      <c r="C1" s="2" t="s">
        <v>2</v>
      </c>
      <c r="D1" s="2" t="s">
        <v>3</v>
      </c>
      <c r="E1" s="2" t="s">
        <v>4</v>
      </c>
      <c r="G1" s="6" t="s">
        <v>24</v>
      </c>
    </row>
    <row r="2" spans="1:14" ht="136" x14ac:dyDescent="0.2">
      <c r="A2" s="2">
        <v>1</v>
      </c>
      <c r="B2" s="2">
        <f>A2*150</f>
        <v>150</v>
      </c>
      <c r="C2" s="2">
        <f>B2 + 1000</f>
        <v>1150</v>
      </c>
      <c r="D2" s="2">
        <f>A2*300</f>
        <v>300</v>
      </c>
      <c r="E2" s="2">
        <f>D2-C2</f>
        <v>-850</v>
      </c>
      <c r="G2" s="1" t="s">
        <v>25</v>
      </c>
    </row>
    <row r="3" spans="1:14" x14ac:dyDescent="0.2">
      <c r="A3" s="2">
        <v>2</v>
      </c>
      <c r="B3" s="2">
        <f>A3*150</f>
        <v>300</v>
      </c>
      <c r="C3" s="2">
        <f t="shared" ref="C3:C73" si="0">B3 + 1000</f>
        <v>1300</v>
      </c>
      <c r="D3" s="2">
        <f>A3*300</f>
        <v>600</v>
      </c>
      <c r="E3" s="2">
        <f t="shared" ref="E3:E73" si="1">D3-C3</f>
        <v>-700</v>
      </c>
      <c r="N3" s="8"/>
    </row>
    <row r="4" spans="1:14" ht="136" x14ac:dyDescent="0.2">
      <c r="A4" s="2">
        <v>3</v>
      </c>
      <c r="B4" s="2">
        <f>A4*150</f>
        <v>450</v>
      </c>
      <c r="C4" s="2">
        <f t="shared" si="0"/>
        <v>1450</v>
      </c>
      <c r="D4" s="2">
        <f>A4*300</f>
        <v>900</v>
      </c>
      <c r="E4" s="2">
        <f t="shared" si="1"/>
        <v>-550</v>
      </c>
      <c r="G4" s="1" t="s">
        <v>26</v>
      </c>
      <c r="N4" s="9"/>
    </row>
    <row r="5" spans="1:14" x14ac:dyDescent="0.2">
      <c r="A5" s="2">
        <v>4</v>
      </c>
      <c r="B5" s="2">
        <f t="shared" ref="B5:B73" si="2">A5*150</f>
        <v>600</v>
      </c>
      <c r="C5" s="2">
        <f t="shared" si="0"/>
        <v>1600</v>
      </c>
      <c r="D5" s="2">
        <f t="shared" ref="D5:D73" si="3">A5*300</f>
        <v>1200</v>
      </c>
      <c r="E5" s="2">
        <f t="shared" si="1"/>
        <v>-400</v>
      </c>
      <c r="N5" s="9"/>
    </row>
    <row r="6" spans="1:14" x14ac:dyDescent="0.2">
      <c r="A6" s="2">
        <v>5</v>
      </c>
      <c r="B6" s="2">
        <f t="shared" si="2"/>
        <v>750</v>
      </c>
      <c r="C6" s="2">
        <f t="shared" si="0"/>
        <v>1750</v>
      </c>
      <c r="D6" s="2">
        <f t="shared" si="3"/>
        <v>1500</v>
      </c>
      <c r="E6" s="2">
        <f t="shared" si="1"/>
        <v>-250</v>
      </c>
      <c r="G6" s="2" t="s">
        <v>5</v>
      </c>
      <c r="H6" s="8">
        <f xml:space="preserve"> 72 - 64</f>
        <v>8</v>
      </c>
      <c r="N6" s="7"/>
    </row>
    <row r="7" spans="1:14" x14ac:dyDescent="0.2">
      <c r="A7" s="2">
        <v>6</v>
      </c>
      <c r="B7" s="2">
        <f t="shared" si="2"/>
        <v>900</v>
      </c>
      <c r="C7" s="2">
        <f t="shared" si="0"/>
        <v>1900</v>
      </c>
      <c r="D7" s="2">
        <f t="shared" si="3"/>
        <v>1800</v>
      </c>
      <c r="E7" s="2">
        <f t="shared" si="1"/>
        <v>-100</v>
      </c>
      <c r="G7" s="2" t="s">
        <v>6</v>
      </c>
      <c r="H7" s="9">
        <f xml:space="preserve"> H6*100</f>
        <v>800</v>
      </c>
      <c r="N7" s="8"/>
    </row>
    <row r="8" spans="1:14" x14ac:dyDescent="0.2">
      <c r="A8" s="2">
        <v>7</v>
      </c>
      <c r="B8" s="2">
        <f t="shared" si="2"/>
        <v>1050</v>
      </c>
      <c r="C8" s="2">
        <f t="shared" si="0"/>
        <v>2050</v>
      </c>
      <c r="D8" s="2">
        <f t="shared" si="3"/>
        <v>2100</v>
      </c>
      <c r="E8" s="2">
        <f t="shared" si="1"/>
        <v>50</v>
      </c>
      <c r="G8" s="2" t="s">
        <v>7</v>
      </c>
      <c r="H8" s="9">
        <f>E65 - H7</f>
        <v>7800</v>
      </c>
      <c r="N8" s="7"/>
    </row>
    <row r="9" spans="1:14" x14ac:dyDescent="0.2">
      <c r="A9" s="2">
        <v>8</v>
      </c>
      <c r="B9" s="2">
        <f t="shared" si="2"/>
        <v>1200</v>
      </c>
      <c r="C9" s="2">
        <f t="shared" si="0"/>
        <v>2200</v>
      </c>
      <c r="D9" s="2">
        <f t="shared" si="3"/>
        <v>2400</v>
      </c>
      <c r="E9" s="2">
        <f t="shared" si="1"/>
        <v>200</v>
      </c>
      <c r="G9" s="2" t="s">
        <v>8</v>
      </c>
      <c r="H9" s="7">
        <f>1 - _xlfn.NORM.DIST(64, 68, 5, TRUE)</f>
        <v>0.78814460141660336</v>
      </c>
    </row>
    <row r="10" spans="1:14" x14ac:dyDescent="0.2">
      <c r="A10" s="2">
        <v>9</v>
      </c>
      <c r="B10" s="2">
        <f t="shared" si="2"/>
        <v>1350</v>
      </c>
      <c r="C10" s="2">
        <f t="shared" si="0"/>
        <v>2350</v>
      </c>
      <c r="D10" s="2">
        <f t="shared" si="3"/>
        <v>2700</v>
      </c>
      <c r="E10" s="2">
        <f t="shared" si="1"/>
        <v>350</v>
      </c>
      <c r="G10" s="2" t="s">
        <v>9</v>
      </c>
      <c r="H10" s="8">
        <f>_xlfn.NORM.INV(0.9, 68, 5)</f>
        <v>74.407757827723003</v>
      </c>
    </row>
    <row r="11" spans="1:14" x14ac:dyDescent="0.2">
      <c r="A11" s="2">
        <v>10</v>
      </c>
      <c r="B11" s="2">
        <f t="shared" si="2"/>
        <v>1500</v>
      </c>
      <c r="C11" s="2">
        <f t="shared" si="0"/>
        <v>2500</v>
      </c>
      <c r="D11" s="2">
        <f t="shared" si="3"/>
        <v>3000</v>
      </c>
      <c r="E11" s="2">
        <f t="shared" si="1"/>
        <v>500</v>
      </c>
      <c r="G11" s="2" t="s">
        <v>10</v>
      </c>
      <c r="H11" s="7">
        <f xml:space="preserve"> _xlfn.NORM.DIST(60, 68, 5, TRUE)</f>
        <v>5.4799291699557967E-2</v>
      </c>
    </row>
    <row r="12" spans="1:14" x14ac:dyDescent="0.2">
      <c r="A12" s="2">
        <v>11</v>
      </c>
      <c r="B12" s="2">
        <f t="shared" si="2"/>
        <v>1650</v>
      </c>
      <c r="C12" s="2">
        <f t="shared" si="0"/>
        <v>2650</v>
      </c>
      <c r="D12" s="2">
        <f t="shared" si="3"/>
        <v>3300</v>
      </c>
      <c r="E12" s="2">
        <f t="shared" si="1"/>
        <v>650</v>
      </c>
    </row>
    <row r="13" spans="1:14" x14ac:dyDescent="0.2">
      <c r="A13" s="2">
        <v>12</v>
      </c>
      <c r="B13" s="2">
        <f t="shared" si="2"/>
        <v>1800</v>
      </c>
      <c r="C13" s="2">
        <f t="shared" si="0"/>
        <v>2800</v>
      </c>
      <c r="D13" s="2">
        <f t="shared" si="3"/>
        <v>3600</v>
      </c>
      <c r="E13" s="2">
        <f t="shared" si="1"/>
        <v>800</v>
      </c>
    </row>
    <row r="14" spans="1:14" x14ac:dyDescent="0.2">
      <c r="A14" s="2">
        <v>13</v>
      </c>
      <c r="B14" s="2">
        <f t="shared" si="2"/>
        <v>1950</v>
      </c>
      <c r="C14" s="2">
        <f t="shared" si="0"/>
        <v>2950</v>
      </c>
      <c r="D14" s="2">
        <f t="shared" si="3"/>
        <v>3900</v>
      </c>
      <c r="E14" s="2">
        <f t="shared" si="1"/>
        <v>950</v>
      </c>
    </row>
    <row r="15" spans="1:14" x14ac:dyDescent="0.2">
      <c r="A15" s="2">
        <v>14</v>
      </c>
      <c r="B15" s="2">
        <f t="shared" si="2"/>
        <v>2100</v>
      </c>
      <c r="C15" s="2">
        <f t="shared" si="0"/>
        <v>3100</v>
      </c>
      <c r="D15" s="2">
        <f t="shared" si="3"/>
        <v>4200</v>
      </c>
      <c r="E15" s="2">
        <f t="shared" si="1"/>
        <v>1100</v>
      </c>
    </row>
    <row r="16" spans="1:14" x14ac:dyDescent="0.2">
      <c r="A16" s="2">
        <v>15</v>
      </c>
      <c r="B16" s="2">
        <f t="shared" si="2"/>
        <v>2250</v>
      </c>
      <c r="C16" s="2">
        <f t="shared" si="0"/>
        <v>3250</v>
      </c>
      <c r="D16" s="2">
        <f t="shared" si="3"/>
        <v>4500</v>
      </c>
      <c r="E16" s="2">
        <f t="shared" si="1"/>
        <v>1250</v>
      </c>
      <c r="H16" s="8"/>
    </row>
    <row r="17" spans="1:8" x14ac:dyDescent="0.2">
      <c r="A17" s="2">
        <v>16</v>
      </c>
      <c r="B17" s="2">
        <f t="shared" si="2"/>
        <v>2400</v>
      </c>
      <c r="C17" s="2">
        <f t="shared" si="0"/>
        <v>3400</v>
      </c>
      <c r="D17" s="2">
        <f t="shared" si="3"/>
        <v>4800</v>
      </c>
      <c r="E17" s="2">
        <f t="shared" si="1"/>
        <v>1400</v>
      </c>
      <c r="H17" s="9"/>
    </row>
    <row r="18" spans="1:8" x14ac:dyDescent="0.2">
      <c r="A18" s="2">
        <v>17</v>
      </c>
      <c r="B18" s="2">
        <f t="shared" si="2"/>
        <v>2550</v>
      </c>
      <c r="C18" s="2">
        <f t="shared" si="0"/>
        <v>3550</v>
      </c>
      <c r="D18" s="2">
        <f t="shared" si="3"/>
        <v>5100</v>
      </c>
      <c r="E18" s="2">
        <f t="shared" si="1"/>
        <v>1550</v>
      </c>
      <c r="H18" s="9"/>
    </row>
    <row r="19" spans="1:8" x14ac:dyDescent="0.2">
      <c r="A19" s="2">
        <v>18</v>
      </c>
      <c r="B19" s="2">
        <f t="shared" si="2"/>
        <v>2700</v>
      </c>
      <c r="C19" s="2">
        <f t="shared" si="0"/>
        <v>3700</v>
      </c>
      <c r="D19" s="2">
        <f t="shared" si="3"/>
        <v>5400</v>
      </c>
      <c r="E19" s="2">
        <f t="shared" si="1"/>
        <v>1700</v>
      </c>
    </row>
    <row r="20" spans="1:8" x14ac:dyDescent="0.2">
      <c r="A20" s="2">
        <v>19</v>
      </c>
      <c r="B20" s="2">
        <f t="shared" si="2"/>
        <v>2850</v>
      </c>
      <c r="C20" s="2">
        <f t="shared" si="0"/>
        <v>3850</v>
      </c>
      <c r="D20" s="2">
        <f t="shared" si="3"/>
        <v>5700</v>
      </c>
      <c r="E20" s="2">
        <f t="shared" si="1"/>
        <v>1850</v>
      </c>
      <c r="H20" s="8"/>
    </row>
    <row r="21" spans="1:8" x14ac:dyDescent="0.2">
      <c r="A21" s="2">
        <v>20</v>
      </c>
      <c r="B21" s="2">
        <f t="shared" si="2"/>
        <v>3000</v>
      </c>
      <c r="C21" s="2">
        <f t="shared" si="0"/>
        <v>4000</v>
      </c>
      <c r="D21" s="2">
        <f t="shared" si="3"/>
        <v>6000</v>
      </c>
      <c r="E21" s="2">
        <f t="shared" si="1"/>
        <v>2000</v>
      </c>
    </row>
    <row r="22" spans="1:8" x14ac:dyDescent="0.2">
      <c r="A22" s="2">
        <v>21</v>
      </c>
      <c r="B22" s="2">
        <f t="shared" si="2"/>
        <v>3150</v>
      </c>
      <c r="C22" s="2">
        <f t="shared" si="0"/>
        <v>4150</v>
      </c>
      <c r="D22" s="2">
        <f t="shared" si="3"/>
        <v>6300</v>
      </c>
      <c r="E22" s="2">
        <f t="shared" si="1"/>
        <v>2150</v>
      </c>
    </row>
    <row r="23" spans="1:8" x14ac:dyDescent="0.2">
      <c r="A23" s="2">
        <v>22</v>
      </c>
      <c r="B23" s="2">
        <f t="shared" si="2"/>
        <v>3300</v>
      </c>
      <c r="C23" s="2">
        <f t="shared" si="0"/>
        <v>4300</v>
      </c>
      <c r="D23" s="2">
        <f t="shared" si="3"/>
        <v>6600</v>
      </c>
      <c r="E23" s="2">
        <f t="shared" si="1"/>
        <v>2300</v>
      </c>
    </row>
    <row r="24" spans="1:8" x14ac:dyDescent="0.2">
      <c r="A24" s="2">
        <v>23</v>
      </c>
      <c r="B24" s="2">
        <f t="shared" si="2"/>
        <v>3450</v>
      </c>
      <c r="C24" s="2">
        <f t="shared" si="0"/>
        <v>4450</v>
      </c>
      <c r="D24" s="2">
        <f t="shared" si="3"/>
        <v>6900</v>
      </c>
      <c r="E24" s="2">
        <f t="shared" si="1"/>
        <v>2450</v>
      </c>
    </row>
    <row r="25" spans="1:8" x14ac:dyDescent="0.2">
      <c r="A25" s="2">
        <v>24</v>
      </c>
      <c r="B25" s="2">
        <f t="shared" si="2"/>
        <v>3600</v>
      </c>
      <c r="C25" s="2">
        <f t="shared" si="0"/>
        <v>4600</v>
      </c>
      <c r="D25" s="2">
        <f t="shared" si="3"/>
        <v>7200</v>
      </c>
      <c r="E25" s="2">
        <f t="shared" si="1"/>
        <v>2600</v>
      </c>
    </row>
    <row r="26" spans="1:8" x14ac:dyDescent="0.2">
      <c r="A26" s="2">
        <v>25</v>
      </c>
      <c r="B26" s="2">
        <f t="shared" si="2"/>
        <v>3750</v>
      </c>
      <c r="C26" s="2">
        <f t="shared" si="0"/>
        <v>4750</v>
      </c>
      <c r="D26" s="2">
        <f t="shared" si="3"/>
        <v>7500</v>
      </c>
      <c r="E26" s="2">
        <f t="shared" si="1"/>
        <v>2750</v>
      </c>
    </row>
    <row r="27" spans="1:8" x14ac:dyDescent="0.2">
      <c r="A27" s="2">
        <v>26</v>
      </c>
      <c r="B27" s="2">
        <f t="shared" si="2"/>
        <v>3900</v>
      </c>
      <c r="C27" s="2">
        <f t="shared" si="0"/>
        <v>4900</v>
      </c>
      <c r="D27" s="2">
        <f t="shared" si="3"/>
        <v>7800</v>
      </c>
      <c r="E27" s="2">
        <f t="shared" si="1"/>
        <v>2900</v>
      </c>
    </row>
    <row r="28" spans="1:8" x14ac:dyDescent="0.2">
      <c r="A28" s="2">
        <v>27</v>
      </c>
      <c r="B28" s="2">
        <f t="shared" si="2"/>
        <v>4050</v>
      </c>
      <c r="C28" s="2">
        <f t="shared" si="0"/>
        <v>5050</v>
      </c>
      <c r="D28" s="2">
        <f t="shared" si="3"/>
        <v>8100</v>
      </c>
      <c r="E28" s="2">
        <f t="shared" si="1"/>
        <v>3050</v>
      </c>
    </row>
    <row r="29" spans="1:8" x14ac:dyDescent="0.2">
      <c r="A29" s="2">
        <v>28</v>
      </c>
      <c r="B29" s="2">
        <f t="shared" si="2"/>
        <v>4200</v>
      </c>
      <c r="C29" s="2">
        <f t="shared" si="0"/>
        <v>5200</v>
      </c>
      <c r="D29" s="2">
        <f t="shared" si="3"/>
        <v>8400</v>
      </c>
      <c r="E29" s="2">
        <f t="shared" si="1"/>
        <v>3200</v>
      </c>
    </row>
    <row r="30" spans="1:8" x14ac:dyDescent="0.2">
      <c r="A30" s="2">
        <v>29</v>
      </c>
      <c r="B30" s="2">
        <f t="shared" si="2"/>
        <v>4350</v>
      </c>
      <c r="C30" s="2">
        <f t="shared" si="0"/>
        <v>5350</v>
      </c>
      <c r="D30" s="2">
        <f t="shared" si="3"/>
        <v>8700</v>
      </c>
      <c r="E30" s="2">
        <f t="shared" si="1"/>
        <v>3350</v>
      </c>
    </row>
    <row r="31" spans="1:8" x14ac:dyDescent="0.2">
      <c r="A31" s="2">
        <v>30</v>
      </c>
      <c r="B31" s="2">
        <f t="shared" si="2"/>
        <v>4500</v>
      </c>
      <c r="C31" s="2">
        <f t="shared" si="0"/>
        <v>5500</v>
      </c>
      <c r="D31" s="2">
        <f t="shared" si="3"/>
        <v>9000</v>
      </c>
      <c r="E31" s="2">
        <f t="shared" si="1"/>
        <v>3500</v>
      </c>
    </row>
    <row r="32" spans="1:8" x14ac:dyDescent="0.2">
      <c r="A32" s="2">
        <v>31</v>
      </c>
      <c r="B32" s="2">
        <f t="shared" si="2"/>
        <v>4650</v>
      </c>
      <c r="C32" s="2">
        <f t="shared" si="0"/>
        <v>5650</v>
      </c>
      <c r="D32" s="2">
        <f t="shared" si="3"/>
        <v>9300</v>
      </c>
      <c r="E32" s="2">
        <f t="shared" si="1"/>
        <v>3650</v>
      </c>
    </row>
    <row r="33" spans="1:5" x14ac:dyDescent="0.2">
      <c r="A33" s="2">
        <v>32</v>
      </c>
      <c r="B33" s="2">
        <f t="shared" si="2"/>
        <v>4800</v>
      </c>
      <c r="C33" s="2">
        <f t="shared" si="0"/>
        <v>5800</v>
      </c>
      <c r="D33" s="2">
        <f t="shared" si="3"/>
        <v>9600</v>
      </c>
      <c r="E33" s="2">
        <f t="shared" si="1"/>
        <v>3800</v>
      </c>
    </row>
    <row r="34" spans="1:5" x14ac:dyDescent="0.2">
      <c r="A34" s="2">
        <v>33</v>
      </c>
      <c r="B34" s="2">
        <f t="shared" si="2"/>
        <v>4950</v>
      </c>
      <c r="C34" s="2">
        <f t="shared" si="0"/>
        <v>5950</v>
      </c>
      <c r="D34" s="2">
        <f t="shared" si="3"/>
        <v>9900</v>
      </c>
      <c r="E34" s="2">
        <f t="shared" si="1"/>
        <v>3950</v>
      </c>
    </row>
    <row r="35" spans="1:5" x14ac:dyDescent="0.2">
      <c r="A35" s="2">
        <v>34</v>
      </c>
      <c r="B35" s="2">
        <f t="shared" si="2"/>
        <v>5100</v>
      </c>
      <c r="C35" s="2">
        <f t="shared" si="0"/>
        <v>6100</v>
      </c>
      <c r="D35" s="2">
        <f t="shared" si="3"/>
        <v>10200</v>
      </c>
      <c r="E35" s="2">
        <f t="shared" si="1"/>
        <v>4100</v>
      </c>
    </row>
    <row r="36" spans="1:5" x14ac:dyDescent="0.2">
      <c r="A36" s="2">
        <v>35</v>
      </c>
      <c r="B36" s="2">
        <f t="shared" si="2"/>
        <v>5250</v>
      </c>
      <c r="C36" s="2">
        <f t="shared" si="0"/>
        <v>6250</v>
      </c>
      <c r="D36" s="2">
        <f t="shared" si="3"/>
        <v>10500</v>
      </c>
      <c r="E36" s="2">
        <f t="shared" si="1"/>
        <v>4250</v>
      </c>
    </row>
    <row r="37" spans="1:5" x14ac:dyDescent="0.2">
      <c r="A37" s="2">
        <v>36</v>
      </c>
      <c r="B37" s="2">
        <f t="shared" si="2"/>
        <v>5400</v>
      </c>
      <c r="C37" s="2">
        <f t="shared" si="0"/>
        <v>6400</v>
      </c>
      <c r="D37" s="2">
        <f t="shared" si="3"/>
        <v>10800</v>
      </c>
      <c r="E37" s="2">
        <f t="shared" si="1"/>
        <v>4400</v>
      </c>
    </row>
    <row r="38" spans="1:5" x14ac:dyDescent="0.2">
      <c r="A38" s="2">
        <v>37</v>
      </c>
      <c r="B38" s="2">
        <f t="shared" si="2"/>
        <v>5550</v>
      </c>
      <c r="C38" s="2">
        <f t="shared" si="0"/>
        <v>6550</v>
      </c>
      <c r="D38" s="2">
        <f t="shared" si="3"/>
        <v>11100</v>
      </c>
      <c r="E38" s="2">
        <f t="shared" si="1"/>
        <v>4550</v>
      </c>
    </row>
    <row r="39" spans="1:5" x14ac:dyDescent="0.2">
      <c r="A39" s="2">
        <v>38</v>
      </c>
      <c r="B39" s="2">
        <f t="shared" si="2"/>
        <v>5700</v>
      </c>
      <c r="C39" s="2">
        <f t="shared" si="0"/>
        <v>6700</v>
      </c>
      <c r="D39" s="2">
        <f t="shared" si="3"/>
        <v>11400</v>
      </c>
      <c r="E39" s="2">
        <f t="shared" si="1"/>
        <v>4700</v>
      </c>
    </row>
    <row r="40" spans="1:5" x14ac:dyDescent="0.2">
      <c r="A40" s="2">
        <v>39</v>
      </c>
      <c r="B40" s="2">
        <f t="shared" si="2"/>
        <v>5850</v>
      </c>
      <c r="C40" s="2">
        <f t="shared" si="0"/>
        <v>6850</v>
      </c>
      <c r="D40" s="2">
        <f t="shared" si="3"/>
        <v>11700</v>
      </c>
      <c r="E40" s="2">
        <f t="shared" si="1"/>
        <v>4850</v>
      </c>
    </row>
    <row r="41" spans="1:5" x14ac:dyDescent="0.2">
      <c r="A41" s="2">
        <v>40</v>
      </c>
      <c r="B41" s="2">
        <f t="shared" si="2"/>
        <v>6000</v>
      </c>
      <c r="C41" s="2">
        <f t="shared" si="0"/>
        <v>7000</v>
      </c>
      <c r="D41" s="2">
        <f t="shared" si="3"/>
        <v>12000</v>
      </c>
      <c r="E41" s="2">
        <f t="shared" si="1"/>
        <v>5000</v>
      </c>
    </row>
    <row r="42" spans="1:5" x14ac:dyDescent="0.2">
      <c r="A42" s="2">
        <v>41</v>
      </c>
      <c r="B42" s="2">
        <f t="shared" si="2"/>
        <v>6150</v>
      </c>
      <c r="C42" s="2">
        <f t="shared" si="0"/>
        <v>7150</v>
      </c>
      <c r="D42" s="2">
        <f t="shared" si="3"/>
        <v>12300</v>
      </c>
      <c r="E42" s="2">
        <f t="shared" si="1"/>
        <v>5150</v>
      </c>
    </row>
    <row r="43" spans="1:5" x14ac:dyDescent="0.2">
      <c r="A43" s="2">
        <v>42</v>
      </c>
      <c r="B43" s="2">
        <f t="shared" si="2"/>
        <v>6300</v>
      </c>
      <c r="C43" s="2">
        <f t="shared" si="0"/>
        <v>7300</v>
      </c>
      <c r="D43" s="2">
        <f t="shared" si="3"/>
        <v>12600</v>
      </c>
      <c r="E43" s="2">
        <f t="shared" si="1"/>
        <v>5300</v>
      </c>
    </row>
    <row r="44" spans="1:5" x14ac:dyDescent="0.2">
      <c r="A44" s="2">
        <v>43</v>
      </c>
      <c r="B44" s="2">
        <f t="shared" si="2"/>
        <v>6450</v>
      </c>
      <c r="C44" s="2">
        <f t="shared" si="0"/>
        <v>7450</v>
      </c>
      <c r="D44" s="2">
        <f t="shared" si="3"/>
        <v>12900</v>
      </c>
      <c r="E44" s="2">
        <f t="shared" si="1"/>
        <v>5450</v>
      </c>
    </row>
    <row r="45" spans="1:5" x14ac:dyDescent="0.2">
      <c r="A45" s="2">
        <v>44</v>
      </c>
      <c r="B45" s="2">
        <f t="shared" si="2"/>
        <v>6600</v>
      </c>
      <c r="C45" s="2">
        <f t="shared" si="0"/>
        <v>7600</v>
      </c>
      <c r="D45" s="2">
        <f t="shared" si="3"/>
        <v>13200</v>
      </c>
      <c r="E45" s="2">
        <f t="shared" si="1"/>
        <v>5600</v>
      </c>
    </row>
    <row r="46" spans="1:5" x14ac:dyDescent="0.2">
      <c r="A46" s="2">
        <v>45</v>
      </c>
      <c r="B46" s="2">
        <f t="shared" si="2"/>
        <v>6750</v>
      </c>
      <c r="C46" s="2">
        <f t="shared" si="0"/>
        <v>7750</v>
      </c>
      <c r="D46" s="2">
        <f t="shared" si="3"/>
        <v>13500</v>
      </c>
      <c r="E46" s="2">
        <f t="shared" si="1"/>
        <v>5750</v>
      </c>
    </row>
    <row r="47" spans="1:5" x14ac:dyDescent="0.2">
      <c r="A47" s="2">
        <v>46</v>
      </c>
      <c r="B47" s="2">
        <f t="shared" si="2"/>
        <v>6900</v>
      </c>
      <c r="C47" s="2">
        <f t="shared" si="0"/>
        <v>7900</v>
      </c>
      <c r="D47" s="2">
        <f t="shared" si="3"/>
        <v>13800</v>
      </c>
      <c r="E47" s="2">
        <f t="shared" si="1"/>
        <v>5900</v>
      </c>
    </row>
    <row r="48" spans="1:5" x14ac:dyDescent="0.2">
      <c r="A48" s="2">
        <v>47</v>
      </c>
      <c r="B48" s="2">
        <f t="shared" si="2"/>
        <v>7050</v>
      </c>
      <c r="C48" s="2">
        <f t="shared" si="0"/>
        <v>8050</v>
      </c>
      <c r="D48" s="2">
        <f t="shared" si="3"/>
        <v>14100</v>
      </c>
      <c r="E48" s="2">
        <f t="shared" si="1"/>
        <v>6050</v>
      </c>
    </row>
    <row r="49" spans="1:5" x14ac:dyDescent="0.2">
      <c r="A49" s="2">
        <v>48</v>
      </c>
      <c r="B49" s="2">
        <f t="shared" si="2"/>
        <v>7200</v>
      </c>
      <c r="C49" s="2">
        <f t="shared" si="0"/>
        <v>8200</v>
      </c>
      <c r="D49" s="2">
        <f t="shared" si="3"/>
        <v>14400</v>
      </c>
      <c r="E49" s="2">
        <f t="shared" si="1"/>
        <v>6200</v>
      </c>
    </row>
    <row r="50" spans="1:5" x14ac:dyDescent="0.2">
      <c r="A50" s="2">
        <v>49</v>
      </c>
      <c r="B50" s="2">
        <f t="shared" si="2"/>
        <v>7350</v>
      </c>
      <c r="C50" s="2">
        <f t="shared" si="0"/>
        <v>8350</v>
      </c>
      <c r="D50" s="2">
        <f t="shared" si="3"/>
        <v>14700</v>
      </c>
      <c r="E50" s="2">
        <f t="shared" si="1"/>
        <v>6350</v>
      </c>
    </row>
    <row r="51" spans="1:5" x14ac:dyDescent="0.2">
      <c r="A51" s="2">
        <v>50</v>
      </c>
      <c r="B51" s="2">
        <f t="shared" si="2"/>
        <v>7500</v>
      </c>
      <c r="C51" s="2">
        <f t="shared" si="0"/>
        <v>8500</v>
      </c>
      <c r="D51" s="2">
        <f t="shared" si="3"/>
        <v>15000</v>
      </c>
      <c r="E51" s="2">
        <f t="shared" si="1"/>
        <v>6500</v>
      </c>
    </row>
    <row r="52" spans="1:5" x14ac:dyDescent="0.2">
      <c r="A52" s="2">
        <v>51</v>
      </c>
      <c r="B52" s="2">
        <f t="shared" si="2"/>
        <v>7650</v>
      </c>
      <c r="C52" s="2">
        <f t="shared" si="0"/>
        <v>8650</v>
      </c>
      <c r="D52" s="2">
        <f t="shared" si="3"/>
        <v>15300</v>
      </c>
      <c r="E52" s="2">
        <f t="shared" si="1"/>
        <v>6650</v>
      </c>
    </row>
    <row r="53" spans="1:5" x14ac:dyDescent="0.2">
      <c r="A53" s="2">
        <v>52</v>
      </c>
      <c r="B53" s="2">
        <f t="shared" si="2"/>
        <v>7800</v>
      </c>
      <c r="C53" s="2">
        <f t="shared" si="0"/>
        <v>8800</v>
      </c>
      <c r="D53" s="2">
        <f t="shared" si="3"/>
        <v>15600</v>
      </c>
      <c r="E53" s="2">
        <f t="shared" si="1"/>
        <v>6800</v>
      </c>
    </row>
    <row r="54" spans="1:5" x14ac:dyDescent="0.2">
      <c r="A54" s="2">
        <v>53</v>
      </c>
      <c r="B54" s="2">
        <f t="shared" si="2"/>
        <v>7950</v>
      </c>
      <c r="C54" s="2">
        <f t="shared" si="0"/>
        <v>8950</v>
      </c>
      <c r="D54" s="2">
        <f t="shared" si="3"/>
        <v>15900</v>
      </c>
      <c r="E54" s="2">
        <f t="shared" si="1"/>
        <v>6950</v>
      </c>
    </row>
    <row r="55" spans="1:5" x14ac:dyDescent="0.2">
      <c r="A55" s="2">
        <v>54</v>
      </c>
      <c r="B55" s="2">
        <f t="shared" si="2"/>
        <v>8100</v>
      </c>
      <c r="C55" s="2">
        <f t="shared" si="0"/>
        <v>9100</v>
      </c>
      <c r="D55" s="2">
        <f t="shared" si="3"/>
        <v>16200</v>
      </c>
      <c r="E55" s="2">
        <f t="shared" si="1"/>
        <v>7100</v>
      </c>
    </row>
    <row r="56" spans="1:5" x14ac:dyDescent="0.2">
      <c r="A56" s="2">
        <v>55</v>
      </c>
      <c r="B56" s="2">
        <f t="shared" si="2"/>
        <v>8250</v>
      </c>
      <c r="C56" s="2">
        <f t="shared" si="0"/>
        <v>9250</v>
      </c>
      <c r="D56" s="2">
        <f t="shared" si="3"/>
        <v>16500</v>
      </c>
      <c r="E56" s="2">
        <f t="shared" si="1"/>
        <v>7250</v>
      </c>
    </row>
    <row r="57" spans="1:5" x14ac:dyDescent="0.2">
      <c r="A57" s="2">
        <v>56</v>
      </c>
      <c r="B57" s="2">
        <f t="shared" si="2"/>
        <v>8400</v>
      </c>
      <c r="C57" s="2">
        <f t="shared" si="0"/>
        <v>9400</v>
      </c>
      <c r="D57" s="2">
        <f t="shared" si="3"/>
        <v>16800</v>
      </c>
      <c r="E57" s="2">
        <f t="shared" si="1"/>
        <v>7400</v>
      </c>
    </row>
    <row r="58" spans="1:5" x14ac:dyDescent="0.2">
      <c r="A58" s="2">
        <v>57</v>
      </c>
      <c r="B58" s="2">
        <f t="shared" si="2"/>
        <v>8550</v>
      </c>
      <c r="C58" s="2">
        <f t="shared" si="0"/>
        <v>9550</v>
      </c>
      <c r="D58" s="2">
        <f t="shared" si="3"/>
        <v>17100</v>
      </c>
      <c r="E58" s="2">
        <f t="shared" si="1"/>
        <v>7550</v>
      </c>
    </row>
    <row r="59" spans="1:5" x14ac:dyDescent="0.2">
      <c r="A59" s="2">
        <v>58</v>
      </c>
      <c r="B59" s="2">
        <f t="shared" si="2"/>
        <v>8700</v>
      </c>
      <c r="C59" s="2">
        <f t="shared" si="0"/>
        <v>9700</v>
      </c>
      <c r="D59" s="2">
        <f t="shared" si="3"/>
        <v>17400</v>
      </c>
      <c r="E59" s="2">
        <f t="shared" si="1"/>
        <v>7700</v>
      </c>
    </row>
    <row r="60" spans="1:5" x14ac:dyDescent="0.2">
      <c r="A60" s="2">
        <v>59</v>
      </c>
      <c r="B60" s="2">
        <f t="shared" si="2"/>
        <v>8850</v>
      </c>
      <c r="C60" s="2">
        <f t="shared" si="0"/>
        <v>9850</v>
      </c>
      <c r="D60" s="2">
        <f t="shared" si="3"/>
        <v>17700</v>
      </c>
      <c r="E60" s="2">
        <f t="shared" si="1"/>
        <v>7850</v>
      </c>
    </row>
    <row r="61" spans="1:5" x14ac:dyDescent="0.2">
      <c r="A61" s="2">
        <v>60</v>
      </c>
      <c r="B61" s="2">
        <f t="shared" si="2"/>
        <v>9000</v>
      </c>
      <c r="C61" s="2">
        <f t="shared" si="0"/>
        <v>10000</v>
      </c>
      <c r="D61" s="2">
        <f t="shared" si="3"/>
        <v>18000</v>
      </c>
      <c r="E61" s="2">
        <f t="shared" si="1"/>
        <v>8000</v>
      </c>
    </row>
    <row r="62" spans="1:5" x14ac:dyDescent="0.2">
      <c r="A62" s="2">
        <v>61</v>
      </c>
      <c r="B62" s="2">
        <f t="shared" si="2"/>
        <v>9150</v>
      </c>
      <c r="C62" s="2">
        <f t="shared" si="0"/>
        <v>10150</v>
      </c>
      <c r="D62" s="2">
        <f t="shared" si="3"/>
        <v>18300</v>
      </c>
      <c r="E62" s="2">
        <f t="shared" si="1"/>
        <v>8150</v>
      </c>
    </row>
    <row r="63" spans="1:5" x14ac:dyDescent="0.2">
      <c r="A63" s="2">
        <v>62</v>
      </c>
      <c r="B63" s="2">
        <f t="shared" si="2"/>
        <v>9300</v>
      </c>
      <c r="C63" s="2">
        <f t="shared" si="0"/>
        <v>10300</v>
      </c>
      <c r="D63" s="2">
        <f t="shared" si="3"/>
        <v>18600</v>
      </c>
      <c r="E63" s="2">
        <f t="shared" si="1"/>
        <v>8300</v>
      </c>
    </row>
    <row r="64" spans="1:5" x14ac:dyDescent="0.2">
      <c r="A64" s="2">
        <v>63</v>
      </c>
      <c r="B64" s="2">
        <f t="shared" si="2"/>
        <v>9450</v>
      </c>
      <c r="C64" s="2">
        <f t="shared" si="0"/>
        <v>10450</v>
      </c>
      <c r="D64" s="2">
        <f t="shared" si="3"/>
        <v>18900</v>
      </c>
      <c r="E64" s="2">
        <f t="shared" si="1"/>
        <v>8450</v>
      </c>
    </row>
    <row r="65" spans="1:5" x14ac:dyDescent="0.2">
      <c r="A65" s="2">
        <v>64</v>
      </c>
      <c r="B65" s="2">
        <f t="shared" si="2"/>
        <v>9600</v>
      </c>
      <c r="C65" s="2">
        <f t="shared" si="0"/>
        <v>10600</v>
      </c>
      <c r="D65" s="2">
        <f t="shared" si="3"/>
        <v>19200</v>
      </c>
      <c r="E65" s="2">
        <f t="shared" si="1"/>
        <v>8600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D3AAE-A63F-944A-ADFF-866C7233B62E}">
  <dimension ref="A1:K26"/>
  <sheetViews>
    <sheetView workbookViewId="0">
      <selection activeCell="B21" sqref="B21"/>
    </sheetView>
  </sheetViews>
  <sheetFormatPr baseColWidth="10" defaultRowHeight="16" x14ac:dyDescent="0.2"/>
  <cols>
    <col min="1" max="1" width="95.6640625" style="1" customWidth="1"/>
    <col min="2" max="2" width="13.6640625" style="1" bestFit="1" customWidth="1"/>
    <col min="3" max="9" width="10.83203125" style="1"/>
    <col min="10" max="10" width="36.1640625" style="1" customWidth="1"/>
    <col min="11" max="16384" width="10.83203125" style="1"/>
  </cols>
  <sheetData>
    <row r="1" spans="1:11" ht="238" x14ac:dyDescent="0.2">
      <c r="A1" s="3" t="s">
        <v>27</v>
      </c>
      <c r="B1" s="4"/>
    </row>
    <row r="2" spans="1:11" x14ac:dyDescent="0.2">
      <c r="B2" s="4"/>
    </row>
    <row r="3" spans="1:11" ht="17" x14ac:dyDescent="0.2">
      <c r="A3" s="1" t="s">
        <v>23</v>
      </c>
      <c r="B3" s="4">
        <f xml:space="preserve"> _xlfn.NORM.DIST(200, 202, 1.5, TRUE)</f>
        <v>9.1211219725867876E-2</v>
      </c>
    </row>
    <row r="4" spans="1:11" x14ac:dyDescent="0.2">
      <c r="B4" s="4"/>
    </row>
    <row r="5" spans="1:11" ht="51" x14ac:dyDescent="0.2">
      <c r="A5" s="3" t="s">
        <v>28</v>
      </c>
      <c r="B5" s="10"/>
    </row>
    <row r="7" spans="1:11" ht="17" x14ac:dyDescent="0.2">
      <c r="A7" s="1" t="s">
        <v>11</v>
      </c>
      <c r="B7" s="4">
        <f xml:space="preserve"> _xlfn.NORM.DIST(199, 200, 0.5, TRUE) + (1 - _xlfn.NORM.DIST(202, 200, 0.5, TRUE))</f>
        <v>2.2781803190012311E-2</v>
      </c>
    </row>
    <row r="8" spans="1:11" ht="17" x14ac:dyDescent="0.2">
      <c r="A8" s="1" t="s">
        <v>12</v>
      </c>
      <c r="B8" s="4">
        <f xml:space="preserve"> _xlfn.NORM.DIST(199, 201, 1, TRUE) + (1 - _xlfn.NORM.DIST(202, 201, 1, TRUE))</f>
        <v>0.18140538587963614</v>
      </c>
    </row>
    <row r="9" spans="1:11" ht="17" x14ac:dyDescent="0.2">
      <c r="A9" s="1" t="s">
        <v>13</v>
      </c>
      <c r="B9" s="4">
        <f xml:space="preserve"> _xlfn.NORM.DIST(199, 202, 1.5, TRUE) + (1 - _xlfn.NORM.DIST(202, 202, 1.5, TRUE))</f>
        <v>0.52275013194817921</v>
      </c>
    </row>
    <row r="10" spans="1:11" ht="17" x14ac:dyDescent="0.2">
      <c r="A10" s="3" t="s">
        <v>14</v>
      </c>
      <c r="B10" s="10">
        <f xml:space="preserve"> MIN(B7:B9)</f>
        <v>2.2781803190012311E-2</v>
      </c>
    </row>
    <row r="12" spans="1:11" ht="51" x14ac:dyDescent="0.2">
      <c r="A12" s="3" t="s">
        <v>29</v>
      </c>
      <c r="B12" s="5"/>
    </row>
    <row r="13" spans="1:11" x14ac:dyDescent="0.2">
      <c r="B13" s="5"/>
      <c r="K13" s="4"/>
    </row>
    <row r="14" spans="1:11" ht="17" x14ac:dyDescent="0.2">
      <c r="A14" s="1" t="s">
        <v>15</v>
      </c>
      <c r="B14" s="1">
        <v>200</v>
      </c>
      <c r="K14" s="4"/>
    </row>
    <row r="15" spans="1:11" ht="17" x14ac:dyDescent="0.2">
      <c r="A15" s="1" t="s">
        <v>16</v>
      </c>
      <c r="B15" s="1">
        <v>140</v>
      </c>
      <c r="K15" s="4"/>
    </row>
    <row r="16" spans="1:11" ht="17" x14ac:dyDescent="0.2">
      <c r="A16" s="1" t="s">
        <v>17</v>
      </c>
      <c r="B16" s="1">
        <v>160</v>
      </c>
      <c r="K16" s="4"/>
    </row>
    <row r="17" spans="1:11" ht="17" x14ac:dyDescent="0.2">
      <c r="A17" s="1" t="s">
        <v>18</v>
      </c>
      <c r="B17" s="1">
        <v>177</v>
      </c>
      <c r="J17" s="3"/>
      <c r="K17" s="10"/>
    </row>
    <row r="18" spans="1:11" ht="17" x14ac:dyDescent="0.2">
      <c r="A18" s="1" t="s">
        <v>19</v>
      </c>
      <c r="B18" s="1">
        <f>-140*_xlfn.NORM.DIST(200, 200, 0.5, TRUE) + (200 - 140)*(1-_xlfn.NORM.DIST(200, 200, 0.5, TRUE))</f>
        <v>-40</v>
      </c>
    </row>
    <row r="19" spans="1:11" ht="17" x14ac:dyDescent="0.2">
      <c r="A19" s="1" t="s">
        <v>20</v>
      </c>
      <c r="B19" s="5">
        <f>-160*_xlfn.NORM.DIST(200, 201, 1, TRUE) + (200 - 160)*(1-_xlfn.NORM.DIST(200, 201, 1, TRUE))</f>
        <v>8.2689492137086056</v>
      </c>
    </row>
    <row r="20" spans="1:11" ht="17" x14ac:dyDescent="0.2">
      <c r="A20" s="1" t="s">
        <v>21</v>
      </c>
      <c r="B20" s="5">
        <f xml:space="preserve"> -177*_xlfn.NORM.DIST(200, 202, 1.5, TRUE) + (200 - 177)*(1 - _xlfn.NORM.DIST(200, 202, 1.5, TRUE))</f>
        <v>4.7577560548264266</v>
      </c>
    </row>
    <row r="21" spans="1:11" ht="17" x14ac:dyDescent="0.2">
      <c r="A21" s="3" t="s">
        <v>22</v>
      </c>
      <c r="B21" s="11">
        <f>MAX(B18:B20)</f>
        <v>8.2689492137086056</v>
      </c>
    </row>
    <row r="24" spans="1:11" x14ac:dyDescent="0.2">
      <c r="K24" s="5"/>
    </row>
    <row r="25" spans="1:11" x14ac:dyDescent="0.2">
      <c r="K25" s="5"/>
    </row>
    <row r="26" spans="1:11" x14ac:dyDescent="0.2">
      <c r="J26" s="3"/>
      <c r="K26"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Airline Problem</vt:lpstr>
      <vt:lpstr>Production Problem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Grace Edith Molina Chavez</dc:creator>
  <cp:lastModifiedBy>Grace Edith Molina Chavez</cp:lastModifiedBy>
  <dcterms:created xsi:type="dcterms:W3CDTF">2026-07-31T01:54:12Z</dcterms:created>
  <dcterms:modified xsi:type="dcterms:W3CDTF">2026-07-31T03:36:58Z</dcterms:modified>
</cp:coreProperties>
</file>