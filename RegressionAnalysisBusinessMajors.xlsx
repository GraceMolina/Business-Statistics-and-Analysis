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9"/>
  <workbookPr filterPrivacy="1" defaultThemeVersion="124226"/>
  <xr:revisionPtr revIDLastSave="200" documentId="11_0C8D9CD0C522101A16F0198355D00118F21570E2" xr6:coauthVersionLast="47" xr6:coauthVersionMax="47" xr10:uidLastSave="{EC09C577-842A-7040-8E9B-196A888330F6}"/>
  <bookViews>
    <workbookView xWindow="0" yWindow="0" windowWidth="28800" windowHeight="180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8" i="1"/>
  <c r="G15" i="1"/>
  <c r="G16" i="1"/>
  <c r="G23" i="1"/>
  <c r="G24" i="1"/>
  <c r="G31" i="1"/>
  <c r="G32" i="1"/>
  <c r="G39" i="1"/>
  <c r="G40" i="1"/>
  <c r="G47" i="1"/>
  <c r="G48" i="1"/>
  <c r="E3" i="1"/>
  <c r="G3" i="1" s="1"/>
  <c r="E4" i="1"/>
  <c r="G4" i="1" s="1"/>
  <c r="E5" i="1"/>
  <c r="G5" i="1" s="1"/>
  <c r="E6" i="1"/>
  <c r="G6" i="1" s="1"/>
  <c r="E7" i="1"/>
  <c r="E8" i="1"/>
  <c r="E9" i="1"/>
  <c r="G9" i="1" s="1"/>
  <c r="E10" i="1"/>
  <c r="E11" i="1"/>
  <c r="G11" i="1" s="1"/>
  <c r="E12" i="1"/>
  <c r="G12" i="1" s="1"/>
  <c r="E13" i="1"/>
  <c r="G13" i="1" s="1"/>
  <c r="E14" i="1"/>
  <c r="G14" i="1" s="1"/>
  <c r="E15" i="1"/>
  <c r="E16" i="1"/>
  <c r="E17" i="1"/>
  <c r="G17" i="1" s="1"/>
  <c r="E18" i="1"/>
  <c r="E19" i="1"/>
  <c r="G19" i="1" s="1"/>
  <c r="E20" i="1"/>
  <c r="G20" i="1" s="1"/>
  <c r="E21" i="1"/>
  <c r="G21" i="1" s="1"/>
  <c r="E22" i="1"/>
  <c r="G22" i="1" s="1"/>
  <c r="E23" i="1"/>
  <c r="E24" i="1"/>
  <c r="E25" i="1"/>
  <c r="G25" i="1" s="1"/>
  <c r="E26" i="1"/>
  <c r="E27" i="1"/>
  <c r="G27" i="1" s="1"/>
  <c r="E28" i="1"/>
  <c r="G28" i="1" s="1"/>
  <c r="E29" i="1"/>
  <c r="G29" i="1" s="1"/>
  <c r="E30" i="1"/>
  <c r="G30" i="1" s="1"/>
  <c r="E31" i="1"/>
  <c r="E32" i="1"/>
  <c r="E33" i="1"/>
  <c r="G33" i="1" s="1"/>
  <c r="E34" i="1"/>
  <c r="E35" i="1"/>
  <c r="G35" i="1" s="1"/>
  <c r="E36" i="1"/>
  <c r="G36" i="1" s="1"/>
  <c r="E37" i="1"/>
  <c r="G37" i="1" s="1"/>
  <c r="E38" i="1"/>
  <c r="G38" i="1" s="1"/>
  <c r="E39" i="1"/>
  <c r="E40" i="1"/>
  <c r="E41" i="1"/>
  <c r="G41" i="1" s="1"/>
  <c r="E42" i="1"/>
  <c r="E43" i="1"/>
  <c r="G43" i="1" s="1"/>
  <c r="E44" i="1"/>
  <c r="G44" i="1" s="1"/>
  <c r="E45" i="1"/>
  <c r="G45" i="1" s="1"/>
  <c r="E46" i="1"/>
  <c r="G46" i="1" s="1"/>
  <c r="E47" i="1"/>
  <c r="E48" i="1"/>
  <c r="E49" i="1"/>
  <c r="G49" i="1" s="1"/>
  <c r="E50" i="1"/>
  <c r="E51" i="1"/>
  <c r="G51" i="1" s="1"/>
  <c r="E2" i="1"/>
  <c r="G2" i="1" s="1"/>
  <c r="F3" i="1"/>
  <c r="F4" i="1"/>
  <c r="F5" i="1"/>
  <c r="F6" i="1"/>
  <c r="F7" i="1"/>
  <c r="F8" i="1"/>
  <c r="F9" i="1"/>
  <c r="F10" i="1"/>
  <c r="G10" i="1" s="1"/>
  <c r="F11" i="1"/>
  <c r="F12" i="1"/>
  <c r="F13" i="1"/>
  <c r="F14" i="1"/>
  <c r="F15" i="1"/>
  <c r="F16" i="1"/>
  <c r="F17" i="1"/>
  <c r="F18" i="1"/>
  <c r="G18" i="1" s="1"/>
  <c r="F19" i="1"/>
  <c r="F20" i="1"/>
  <c r="F21" i="1"/>
  <c r="F22" i="1"/>
  <c r="F23" i="1"/>
  <c r="F24" i="1"/>
  <c r="F25" i="1"/>
  <c r="F26" i="1"/>
  <c r="G26" i="1" s="1"/>
  <c r="F27" i="1"/>
  <c r="F28" i="1"/>
  <c r="F29" i="1"/>
  <c r="F30" i="1"/>
  <c r="F31" i="1"/>
  <c r="F32" i="1"/>
  <c r="F33" i="1"/>
  <c r="F34" i="1"/>
  <c r="G34" i="1" s="1"/>
  <c r="F35" i="1"/>
  <c r="F36" i="1"/>
  <c r="F37" i="1"/>
  <c r="F38" i="1"/>
  <c r="F39" i="1"/>
  <c r="F40" i="1"/>
  <c r="F41" i="1"/>
  <c r="F42" i="1"/>
  <c r="G42" i="1" s="1"/>
  <c r="F43" i="1"/>
  <c r="F44" i="1"/>
  <c r="F45" i="1"/>
  <c r="F46" i="1"/>
  <c r="F47" i="1"/>
  <c r="F48" i="1"/>
  <c r="F49" i="1"/>
  <c r="F50" i="1"/>
  <c r="G50" i="1" s="1"/>
  <c r="F51" i="1"/>
  <c r="F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2" i="1"/>
</calcChain>
</file>

<file path=xl/sharedStrings.xml><?xml version="1.0" encoding="utf-8"?>
<sst xmlns="http://schemas.openxmlformats.org/spreadsheetml/2006/main" count="142" uniqueCount="34">
  <si>
    <t>SALARY</t>
  </si>
  <si>
    <t>MAJOR</t>
  </si>
  <si>
    <t>UGPA</t>
  </si>
  <si>
    <t>IB</t>
  </si>
  <si>
    <t>FINANCE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</si>
  <si>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</si>
  <si>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</si>
  <si>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</si>
  <si>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</si>
  <si>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</si>
  <si>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</si>
  <si>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</si>
  <si>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</si>
  <si>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</si>
  <si>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</si>
  <si>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</si>
  <si>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</si>
  <si>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</si>
  <si>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</si>
  <si>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</si>
  <si>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</si>
  <si>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</si>
  <si>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</si>
  <si>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</si>
  <si>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</si>
  <si>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</si>
  <si>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</si>
  <si>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</si>
  <si>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</si>
  <si>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UGPA - AVERAGE(UGPA)</t>
  </si>
  <si>
    <t>IB*[UGPA]</t>
  </si>
  <si>
    <t>According to the second regression output, $60,630 is the salary of a finance major with a UGPA equal to the average UGPA observed in the data.</t>
  </si>
  <si>
    <t>According to the second regression output, an IB major earns $5,145 less than a finance major when they have the same UGPAs.</t>
  </si>
  <si>
    <t>The coefficient of the interaction term in the third regression outcome is the differential impact of UGPA on the starting salary of IB majors as compared to finance majors.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</si>
</sst>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1" fontId="0" fillId="0" borderId="0" xfId="0" applyNumberFormat="1" applyFill="1" applyBorder="1" applyAlignment="1"/>
    <xf numFmtId="0" fontId="0" fillId="0" borderId="0" xfId="0" applyBorder="1"/>
    <xf numFmtId="0" fontId="2" fillId="0" borderId="0" xfId="0" applyFont="1" applyFill="1" applyBorder="1" applyAlignment="1">
      <alignment horizontal="centerContinuous"/>
    </xf>
    <xf numFmtId="0" fontId="2" fillId="0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" fontId="0" fillId="0" borderId="1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1"/>
  <sheetViews>
    <sheetView tabSelected="1" zoomScale="170" zoomScaleNormal="170" workbookViewId="0">
      <selection activeCell="I68" sqref="I68"/>
    </sheetView>
  </sheetViews>
  <sheetFormatPr baseColWidth="10" defaultColWidth="8.83203125" defaultRowHeight="15" x14ac:dyDescent="0.2"/>
  <cols>
    <col min="1" max="1" width="10.5" customWidth="1"/>
    <col min="2" max="2" width="9.1640625" style="3"/>
    <col min="3" max="3" width="8.83203125" style="3"/>
    <col min="5" max="5" width="8.83203125" style="3"/>
    <col min="6" max="6" width="20.6640625" customWidth="1"/>
    <col min="7" max="8" width="10.6640625" customWidth="1"/>
    <col min="9" max="9" width="20.1640625" customWidth="1"/>
    <col min="10" max="10" width="13.6640625" customWidth="1"/>
    <col min="11" max="11" width="13" customWidth="1"/>
    <col min="14" max="14" width="9.5" customWidth="1"/>
    <col min="15" max="15" width="9.6640625" customWidth="1"/>
    <col min="16" max="16" width="11.33203125" customWidth="1"/>
    <col min="17" max="17" width="10.83203125" customWidth="1"/>
  </cols>
  <sheetData>
    <row r="1" spans="1:17" x14ac:dyDescent="0.2">
      <c r="A1" s="1" t="s">
        <v>0</v>
      </c>
      <c r="B1" s="2" t="s">
        <v>1</v>
      </c>
      <c r="C1" s="2" t="s">
        <v>3</v>
      </c>
      <c r="D1" s="1" t="s">
        <v>2</v>
      </c>
      <c r="E1" s="2" t="s">
        <v>3</v>
      </c>
      <c r="F1" s="12" t="s">
        <v>29</v>
      </c>
      <c r="G1" s="13" t="s">
        <v>30</v>
      </c>
      <c r="H1" s="13"/>
      <c r="I1" t="s">
        <v>5</v>
      </c>
    </row>
    <row r="2" spans="1:17" ht="16" thickBot="1" x14ac:dyDescent="0.25">
      <c r="A2">
        <v>64057</v>
      </c>
      <c r="B2" s="3" t="s">
        <v>4</v>
      </c>
      <c r="C2" s="3">
        <f>IF(B2="IB", 1, 0)</f>
        <v>0</v>
      </c>
      <c r="D2">
        <v>3.6</v>
      </c>
      <c r="E2" s="3">
        <f>IF(B2="IB", 1, 0)</f>
        <v>0</v>
      </c>
      <c r="F2" s="9">
        <f>D2-AVERAGE(D$2:D$51)</f>
        <v>0.69199999999999928</v>
      </c>
      <c r="G2" s="9">
        <f>E2*F2</f>
        <v>0</v>
      </c>
      <c r="H2" s="9"/>
    </row>
    <row r="3" spans="1:17" x14ac:dyDescent="0.2">
      <c r="A3">
        <v>55111</v>
      </c>
      <c r="B3" s="3" t="s">
        <v>4</v>
      </c>
      <c r="C3" s="3">
        <f t="shared" ref="C3:E51" si="0">IF(B3="IB", 1, 0)</f>
        <v>0</v>
      </c>
      <c r="D3">
        <v>2.6</v>
      </c>
      <c r="E3" s="3">
        <f t="shared" ref="E3:E51" si="1">IF(B3="IB", 1, 0)</f>
        <v>0</v>
      </c>
      <c r="F3" s="9">
        <f t="shared" ref="F3:F51" si="2">D3-AVERAGE(D$2:D$51)</f>
        <v>-0.30800000000000072</v>
      </c>
      <c r="G3" s="9">
        <f t="shared" ref="G3:G51" si="3">E3*F3</f>
        <v>0</v>
      </c>
      <c r="H3" s="9"/>
      <c r="I3" s="7" t="s">
        <v>6</v>
      </c>
      <c r="J3" s="7"/>
    </row>
    <row r="4" spans="1:17" x14ac:dyDescent="0.2">
      <c r="A4">
        <v>58018</v>
      </c>
      <c r="B4" s="3" t="s">
        <v>3</v>
      </c>
      <c r="C4" s="3">
        <f t="shared" si="0"/>
        <v>1</v>
      </c>
      <c r="D4">
        <v>2.7</v>
      </c>
      <c r="E4" s="3">
        <f t="shared" si="1"/>
        <v>1</v>
      </c>
      <c r="F4" s="9">
        <f t="shared" si="2"/>
        <v>-0.20800000000000063</v>
      </c>
      <c r="G4" s="9">
        <f t="shared" si="3"/>
        <v>-0.20800000000000063</v>
      </c>
      <c r="H4" s="9"/>
      <c r="I4" s="4" t="s">
        <v>7</v>
      </c>
      <c r="J4" s="4">
        <v>0.8048085866964666</v>
      </c>
    </row>
    <row r="5" spans="1:17" x14ac:dyDescent="0.2">
      <c r="A5">
        <v>54426</v>
      </c>
      <c r="B5" s="3" t="s">
        <v>3</v>
      </c>
      <c r="C5" s="3">
        <f t="shared" si="0"/>
        <v>1</v>
      </c>
      <c r="D5">
        <v>2.2000000000000002</v>
      </c>
      <c r="E5" s="3">
        <f t="shared" si="1"/>
        <v>1</v>
      </c>
      <c r="F5" s="9">
        <f t="shared" si="2"/>
        <v>-0.70800000000000063</v>
      </c>
      <c r="G5" s="9">
        <f t="shared" si="3"/>
        <v>-0.70800000000000063</v>
      </c>
      <c r="H5" s="9"/>
      <c r="I5" s="4" t="s">
        <v>8</v>
      </c>
      <c r="J5" s="4">
        <v>0.64771686122036398</v>
      </c>
    </row>
    <row r="6" spans="1:17" x14ac:dyDescent="0.2">
      <c r="A6">
        <v>69205</v>
      </c>
      <c r="B6" s="3" t="s">
        <v>4</v>
      </c>
      <c r="C6" s="3">
        <f t="shared" si="0"/>
        <v>0</v>
      </c>
      <c r="D6">
        <v>3.2</v>
      </c>
      <c r="E6" s="3">
        <f t="shared" si="1"/>
        <v>0</v>
      </c>
      <c r="F6" s="9">
        <f t="shared" si="2"/>
        <v>0.29199999999999937</v>
      </c>
      <c r="G6" s="9">
        <f t="shared" si="3"/>
        <v>0</v>
      </c>
      <c r="H6" s="9"/>
      <c r="I6" s="4" t="s">
        <v>9</v>
      </c>
      <c r="J6" s="4">
        <v>0.63272608935740082</v>
      </c>
    </row>
    <row r="7" spans="1:17" x14ac:dyDescent="0.2">
      <c r="A7">
        <v>57582</v>
      </c>
      <c r="B7" s="3" t="s">
        <v>3</v>
      </c>
      <c r="C7" s="3">
        <f t="shared" si="0"/>
        <v>1</v>
      </c>
      <c r="D7">
        <v>3</v>
      </c>
      <c r="E7" s="3">
        <f t="shared" si="1"/>
        <v>1</v>
      </c>
      <c r="F7" s="9">
        <f t="shared" si="2"/>
        <v>9.1999999999999194E-2</v>
      </c>
      <c r="G7" s="9">
        <f t="shared" si="3"/>
        <v>9.1999999999999194E-2</v>
      </c>
      <c r="H7" s="9"/>
      <c r="I7" s="4" t="s">
        <v>10</v>
      </c>
      <c r="J7" s="4">
        <v>3462.3494379018407</v>
      </c>
    </row>
    <row r="8" spans="1:17" ht="16" thickBot="1" x14ac:dyDescent="0.25">
      <c r="A8">
        <v>55206</v>
      </c>
      <c r="B8" s="3" t="s">
        <v>3</v>
      </c>
      <c r="C8" s="3">
        <f t="shared" si="0"/>
        <v>1</v>
      </c>
      <c r="D8">
        <v>2.2999999999999998</v>
      </c>
      <c r="E8" s="3">
        <f t="shared" si="1"/>
        <v>1</v>
      </c>
      <c r="F8" s="9">
        <f t="shared" si="2"/>
        <v>-0.60800000000000098</v>
      </c>
      <c r="G8" s="9">
        <f t="shared" si="3"/>
        <v>-0.60800000000000098</v>
      </c>
      <c r="H8" s="9"/>
      <c r="I8" s="5" t="s">
        <v>11</v>
      </c>
      <c r="J8" s="5">
        <v>50</v>
      </c>
    </row>
    <row r="9" spans="1:17" x14ac:dyDescent="0.2">
      <c r="A9">
        <v>53322</v>
      </c>
      <c r="B9" s="3" t="s">
        <v>3</v>
      </c>
      <c r="C9" s="3">
        <f t="shared" si="0"/>
        <v>1</v>
      </c>
      <c r="D9">
        <v>2.4</v>
      </c>
      <c r="E9" s="3">
        <f t="shared" si="1"/>
        <v>1</v>
      </c>
      <c r="F9" s="9">
        <f t="shared" si="2"/>
        <v>-0.5080000000000009</v>
      </c>
      <c r="G9" s="9">
        <f t="shared" si="3"/>
        <v>-0.5080000000000009</v>
      </c>
      <c r="H9" s="9"/>
    </row>
    <row r="10" spans="1:17" ht="16" thickBot="1" x14ac:dyDescent="0.25">
      <c r="A10">
        <v>47870</v>
      </c>
      <c r="B10" s="3" t="s">
        <v>3</v>
      </c>
      <c r="C10" s="3">
        <f t="shared" si="0"/>
        <v>1</v>
      </c>
      <c r="D10">
        <v>2.2000000000000002</v>
      </c>
      <c r="E10" s="3">
        <f t="shared" si="1"/>
        <v>1</v>
      </c>
      <c r="F10" s="9">
        <f t="shared" si="2"/>
        <v>-0.70800000000000063</v>
      </c>
      <c r="G10" s="9">
        <f t="shared" si="3"/>
        <v>-0.70800000000000063</v>
      </c>
      <c r="H10" s="9"/>
      <c r="I10" t="s">
        <v>12</v>
      </c>
    </row>
    <row r="11" spans="1:17" x14ac:dyDescent="0.2">
      <c r="A11">
        <v>48000</v>
      </c>
      <c r="B11" s="3" t="s">
        <v>3</v>
      </c>
      <c r="C11" s="3">
        <f t="shared" si="0"/>
        <v>1</v>
      </c>
      <c r="D11">
        <v>2.2999999999999998</v>
      </c>
      <c r="E11" s="3">
        <f t="shared" si="1"/>
        <v>1</v>
      </c>
      <c r="F11" s="9">
        <f t="shared" si="2"/>
        <v>-0.60800000000000098</v>
      </c>
      <c r="G11" s="9">
        <f t="shared" si="3"/>
        <v>-0.60800000000000098</v>
      </c>
      <c r="H11" s="9"/>
      <c r="I11" s="6"/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</row>
    <row r="12" spans="1:17" x14ac:dyDescent="0.2">
      <c r="A12">
        <v>51754</v>
      </c>
      <c r="B12" s="3" t="s">
        <v>3</v>
      </c>
      <c r="C12" s="3">
        <f t="shared" si="0"/>
        <v>1</v>
      </c>
      <c r="D12">
        <v>2.2000000000000002</v>
      </c>
      <c r="E12" s="3">
        <f t="shared" si="1"/>
        <v>1</v>
      </c>
      <c r="F12" s="9">
        <f t="shared" si="2"/>
        <v>-0.70800000000000063</v>
      </c>
      <c r="G12" s="9">
        <f t="shared" si="3"/>
        <v>-0.70800000000000063</v>
      </c>
      <c r="H12" s="9"/>
      <c r="I12" s="4" t="s">
        <v>13</v>
      </c>
      <c r="J12" s="4">
        <v>2</v>
      </c>
      <c r="K12" s="4">
        <v>1035936171.163458</v>
      </c>
      <c r="L12" s="4">
        <v>517968085.58172899</v>
      </c>
      <c r="M12" s="4">
        <v>43.207705856736951</v>
      </c>
      <c r="N12" s="4">
        <v>2.2488404461362479E-11</v>
      </c>
    </row>
    <row r="13" spans="1:17" x14ac:dyDescent="0.2">
      <c r="A13">
        <v>65766</v>
      </c>
      <c r="B13" s="3" t="s">
        <v>4</v>
      </c>
      <c r="C13" s="3">
        <f t="shared" si="0"/>
        <v>0</v>
      </c>
      <c r="D13">
        <v>3</v>
      </c>
      <c r="E13" s="3">
        <f t="shared" si="1"/>
        <v>0</v>
      </c>
      <c r="F13" s="9">
        <f t="shared" si="2"/>
        <v>9.1999999999999194E-2</v>
      </c>
      <c r="G13" s="9">
        <f t="shared" si="3"/>
        <v>0</v>
      </c>
      <c r="H13" s="9"/>
      <c r="I13" s="4" t="s">
        <v>14</v>
      </c>
      <c r="J13" s="4">
        <v>47</v>
      </c>
      <c r="K13" s="4">
        <v>563429590.61654198</v>
      </c>
      <c r="L13" s="4">
        <v>11987863.630139191</v>
      </c>
      <c r="M13" s="4"/>
      <c r="N13" s="4"/>
    </row>
    <row r="14" spans="1:17" ht="16" thickBot="1" x14ac:dyDescent="0.25">
      <c r="A14">
        <v>57955</v>
      </c>
      <c r="B14" s="3" t="s">
        <v>4</v>
      </c>
      <c r="C14" s="3">
        <f t="shared" si="0"/>
        <v>0</v>
      </c>
      <c r="D14">
        <v>3.2</v>
      </c>
      <c r="E14" s="3">
        <f t="shared" si="1"/>
        <v>0</v>
      </c>
      <c r="F14" s="9">
        <f t="shared" si="2"/>
        <v>0.29199999999999937</v>
      </c>
      <c r="G14" s="9">
        <f t="shared" si="3"/>
        <v>0</v>
      </c>
      <c r="H14" s="9"/>
      <c r="I14" s="5" t="s">
        <v>15</v>
      </c>
      <c r="J14" s="5">
        <v>49</v>
      </c>
      <c r="K14" s="5">
        <v>1599365761.78</v>
      </c>
      <c r="L14" s="5"/>
      <c r="M14" s="5"/>
      <c r="N14" s="5"/>
    </row>
    <row r="15" spans="1:17" ht="16" thickBot="1" x14ac:dyDescent="0.25">
      <c r="A15">
        <v>60817</v>
      </c>
      <c r="B15" s="3" t="s">
        <v>4</v>
      </c>
      <c r="C15" s="3">
        <f t="shared" si="0"/>
        <v>0</v>
      </c>
      <c r="D15">
        <v>3.6</v>
      </c>
      <c r="E15" s="3">
        <f t="shared" si="1"/>
        <v>0</v>
      </c>
      <c r="F15" s="9">
        <f t="shared" si="2"/>
        <v>0.69199999999999928</v>
      </c>
      <c r="G15" s="9">
        <f t="shared" si="3"/>
        <v>0</v>
      </c>
      <c r="H15" s="9"/>
    </row>
    <row r="16" spans="1:17" x14ac:dyDescent="0.2">
      <c r="A16">
        <v>57912</v>
      </c>
      <c r="B16" s="3" t="s">
        <v>3</v>
      </c>
      <c r="C16" s="3">
        <f t="shared" si="0"/>
        <v>1</v>
      </c>
      <c r="D16">
        <v>2.9</v>
      </c>
      <c r="E16" s="3">
        <f t="shared" si="1"/>
        <v>1</v>
      </c>
      <c r="F16" s="9">
        <f t="shared" si="2"/>
        <v>-8.0000000000008953E-3</v>
      </c>
      <c r="G16" s="9">
        <f t="shared" si="3"/>
        <v>-8.0000000000008953E-3</v>
      </c>
      <c r="H16" s="9"/>
      <c r="I16" s="6"/>
      <c r="J16" s="6" t="s">
        <v>22</v>
      </c>
      <c r="K16" s="6" t="s">
        <v>10</v>
      </c>
      <c r="L16" s="6" t="s">
        <v>23</v>
      </c>
      <c r="M16" s="6" t="s">
        <v>24</v>
      </c>
      <c r="N16" s="6" t="s">
        <v>25</v>
      </c>
      <c r="O16" s="6" t="s">
        <v>26</v>
      </c>
      <c r="P16" s="6" t="s">
        <v>27</v>
      </c>
      <c r="Q16" s="6" t="s">
        <v>28</v>
      </c>
    </row>
    <row r="17" spans="1:17" x14ac:dyDescent="0.2">
      <c r="A17">
        <v>61518</v>
      </c>
      <c r="B17" s="3" t="s">
        <v>4</v>
      </c>
      <c r="C17" s="3">
        <f t="shared" si="0"/>
        <v>0</v>
      </c>
      <c r="D17">
        <v>3.4</v>
      </c>
      <c r="E17" s="3">
        <f t="shared" si="1"/>
        <v>0</v>
      </c>
      <c r="F17" s="9">
        <f t="shared" si="2"/>
        <v>0.4919999999999991</v>
      </c>
      <c r="G17" s="9">
        <f t="shared" si="3"/>
        <v>0</v>
      </c>
      <c r="H17" s="9"/>
      <c r="I17" s="4" t="s">
        <v>16</v>
      </c>
      <c r="J17" s="4">
        <v>47298.1588991791</v>
      </c>
      <c r="K17" s="4">
        <v>4152.0399898055639</v>
      </c>
      <c r="L17" s="4">
        <v>11.391547050440145</v>
      </c>
      <c r="M17" s="4">
        <v>4.0541138219182826E-15</v>
      </c>
      <c r="N17" s="4">
        <v>38945.331837061116</v>
      </c>
      <c r="O17" s="4">
        <v>55650.985961297083</v>
      </c>
      <c r="P17" s="4">
        <v>38945.331837061116</v>
      </c>
      <c r="Q17" s="4">
        <v>55650.985961297083</v>
      </c>
    </row>
    <row r="18" spans="1:17" x14ac:dyDescent="0.2">
      <c r="A18">
        <v>59704</v>
      </c>
      <c r="B18" s="3" t="s">
        <v>3</v>
      </c>
      <c r="C18" s="3">
        <f t="shared" si="0"/>
        <v>1</v>
      </c>
      <c r="D18">
        <v>3</v>
      </c>
      <c r="E18" s="3">
        <f t="shared" si="1"/>
        <v>1</v>
      </c>
      <c r="F18" s="9">
        <f t="shared" si="2"/>
        <v>9.1999999999999194E-2</v>
      </c>
      <c r="G18" s="9">
        <f t="shared" si="3"/>
        <v>9.1999999999999194E-2</v>
      </c>
      <c r="H18" s="9"/>
      <c r="I18" s="4" t="s">
        <v>3</v>
      </c>
      <c r="J18" s="8">
        <v>-5144.7441549147534</v>
      </c>
      <c r="K18" s="4">
        <v>1319.3273582786453</v>
      </c>
      <c r="L18" s="4">
        <v>-3.8995205569201654</v>
      </c>
      <c r="M18" s="4">
        <v>3.0517728013208632E-4</v>
      </c>
      <c r="N18" s="4">
        <v>-7798.888452435971</v>
      </c>
      <c r="O18" s="4">
        <v>-2490.5998573935353</v>
      </c>
      <c r="P18" s="4">
        <v>-7798.888452435971</v>
      </c>
      <c r="Q18" s="4">
        <v>-2490.5998573935353</v>
      </c>
    </row>
    <row r="19" spans="1:17" ht="16" thickBot="1" x14ac:dyDescent="0.25">
      <c r="A19">
        <v>59918</v>
      </c>
      <c r="B19" s="3" t="s">
        <v>4</v>
      </c>
      <c r="C19" s="3">
        <f t="shared" si="0"/>
        <v>0</v>
      </c>
      <c r="D19">
        <v>3.2</v>
      </c>
      <c r="E19" s="3">
        <f t="shared" si="1"/>
        <v>0</v>
      </c>
      <c r="F19" s="9">
        <f t="shared" si="2"/>
        <v>0.29199999999999937</v>
      </c>
      <c r="G19" s="9">
        <f t="shared" si="3"/>
        <v>0</v>
      </c>
      <c r="H19" s="9"/>
      <c r="I19" s="5" t="s">
        <v>2</v>
      </c>
      <c r="J19" s="5">
        <v>4584.4543254051823</v>
      </c>
      <c r="K19" s="5">
        <v>1255.7939615082889</v>
      </c>
      <c r="L19" s="5">
        <v>3.6506421164017695</v>
      </c>
      <c r="M19" s="5">
        <v>6.555213478291258E-4</v>
      </c>
      <c r="N19" s="5">
        <v>2058.1227361417582</v>
      </c>
      <c r="O19" s="5">
        <v>7110.7859146686069</v>
      </c>
      <c r="P19" s="5">
        <v>2058.1227361417582</v>
      </c>
      <c r="Q19" s="5">
        <v>7110.7859146686069</v>
      </c>
    </row>
    <row r="20" spans="1:17" x14ac:dyDescent="0.2">
      <c r="A20">
        <v>59179</v>
      </c>
      <c r="B20" s="3" t="s">
        <v>4</v>
      </c>
      <c r="C20" s="3">
        <f t="shared" si="0"/>
        <v>0</v>
      </c>
      <c r="D20">
        <v>3.6</v>
      </c>
      <c r="E20" s="3">
        <f t="shared" si="1"/>
        <v>0</v>
      </c>
      <c r="F20" s="9">
        <f t="shared" si="2"/>
        <v>0.69199999999999928</v>
      </c>
      <c r="G20" s="9">
        <f t="shared" si="3"/>
        <v>0</v>
      </c>
      <c r="H20" s="9"/>
    </row>
    <row r="21" spans="1:17" x14ac:dyDescent="0.2">
      <c r="A21">
        <v>45800</v>
      </c>
      <c r="B21" s="3" t="s">
        <v>3</v>
      </c>
      <c r="C21" s="3">
        <f t="shared" si="0"/>
        <v>1</v>
      </c>
      <c r="D21">
        <v>2.4</v>
      </c>
      <c r="E21" s="3">
        <f t="shared" si="1"/>
        <v>1</v>
      </c>
      <c r="F21" s="9">
        <f t="shared" si="2"/>
        <v>-0.5080000000000009</v>
      </c>
      <c r="G21" s="9">
        <f t="shared" si="3"/>
        <v>-0.5080000000000009</v>
      </c>
      <c r="H21" s="9"/>
      <c r="I21" t="s">
        <v>5</v>
      </c>
    </row>
    <row r="22" spans="1:17" ht="16" thickBot="1" x14ac:dyDescent="0.25">
      <c r="A22">
        <v>53760</v>
      </c>
      <c r="B22" s="3" t="s">
        <v>3</v>
      </c>
      <c r="C22" s="3">
        <f t="shared" si="0"/>
        <v>1</v>
      </c>
      <c r="D22">
        <v>2.2000000000000002</v>
      </c>
      <c r="E22" s="3">
        <f t="shared" si="1"/>
        <v>1</v>
      </c>
      <c r="F22" s="9">
        <f t="shared" si="2"/>
        <v>-0.70800000000000063</v>
      </c>
      <c r="G22" s="9">
        <f t="shared" si="3"/>
        <v>-0.70800000000000063</v>
      </c>
      <c r="H22" s="9"/>
    </row>
    <row r="23" spans="1:17" x14ac:dyDescent="0.2">
      <c r="A23">
        <v>46142</v>
      </c>
      <c r="B23" s="3" t="s">
        <v>3</v>
      </c>
      <c r="C23" s="3">
        <f t="shared" si="0"/>
        <v>1</v>
      </c>
      <c r="D23">
        <v>2.4</v>
      </c>
      <c r="E23" s="3">
        <f t="shared" si="1"/>
        <v>1</v>
      </c>
      <c r="F23" s="9">
        <f t="shared" si="2"/>
        <v>-0.5080000000000009</v>
      </c>
      <c r="G23" s="9">
        <f t="shared" si="3"/>
        <v>-0.5080000000000009</v>
      </c>
      <c r="H23" s="9"/>
      <c r="I23" s="7" t="s">
        <v>6</v>
      </c>
      <c r="J23" s="7"/>
    </row>
    <row r="24" spans="1:17" x14ac:dyDescent="0.2">
      <c r="A24">
        <v>49650</v>
      </c>
      <c r="B24" s="3" t="s">
        <v>3</v>
      </c>
      <c r="C24" s="3">
        <f t="shared" si="0"/>
        <v>1</v>
      </c>
      <c r="D24">
        <v>2.4</v>
      </c>
      <c r="E24" s="3">
        <f t="shared" si="1"/>
        <v>1</v>
      </c>
      <c r="F24" s="9">
        <f t="shared" si="2"/>
        <v>-0.5080000000000009</v>
      </c>
      <c r="G24" s="9">
        <f t="shared" si="3"/>
        <v>-0.5080000000000009</v>
      </c>
      <c r="H24" s="9"/>
      <c r="I24" s="4" t="s">
        <v>7</v>
      </c>
      <c r="J24" s="4">
        <v>0.80480858669646649</v>
      </c>
    </row>
    <row r="25" spans="1:17" x14ac:dyDescent="0.2">
      <c r="A25">
        <v>57794</v>
      </c>
      <c r="B25" s="3" t="s">
        <v>3</v>
      </c>
      <c r="C25" s="3">
        <f t="shared" si="0"/>
        <v>1</v>
      </c>
      <c r="D25">
        <v>3</v>
      </c>
      <c r="E25" s="3">
        <f t="shared" si="1"/>
        <v>1</v>
      </c>
      <c r="F25" s="9">
        <f t="shared" si="2"/>
        <v>9.1999999999999194E-2</v>
      </c>
      <c r="G25" s="9">
        <f t="shared" si="3"/>
        <v>9.1999999999999194E-2</v>
      </c>
      <c r="H25" s="9"/>
      <c r="I25" s="4" t="s">
        <v>8</v>
      </c>
      <c r="J25" s="4">
        <v>0.64771686122036387</v>
      </c>
    </row>
    <row r="26" spans="1:17" x14ac:dyDescent="0.2">
      <c r="A26">
        <v>63718</v>
      </c>
      <c r="B26" s="3" t="s">
        <v>4</v>
      </c>
      <c r="C26" s="3">
        <f t="shared" si="0"/>
        <v>0</v>
      </c>
      <c r="D26">
        <v>2.9</v>
      </c>
      <c r="E26" s="3">
        <f t="shared" si="1"/>
        <v>0</v>
      </c>
      <c r="F26" s="9">
        <f t="shared" si="2"/>
        <v>-8.0000000000008953E-3</v>
      </c>
      <c r="G26" s="9">
        <f t="shared" si="3"/>
        <v>0</v>
      </c>
      <c r="H26" s="9"/>
      <c r="I26" s="4" t="s">
        <v>9</v>
      </c>
      <c r="J26" s="4">
        <v>0.6327260893574006</v>
      </c>
    </row>
    <row r="27" spans="1:17" x14ac:dyDescent="0.2">
      <c r="A27">
        <v>67909</v>
      </c>
      <c r="B27" s="3" t="s">
        <v>4</v>
      </c>
      <c r="C27" s="3">
        <f t="shared" si="0"/>
        <v>0</v>
      </c>
      <c r="D27">
        <v>3.4</v>
      </c>
      <c r="E27" s="3">
        <f t="shared" si="1"/>
        <v>0</v>
      </c>
      <c r="F27" s="9">
        <f t="shared" si="2"/>
        <v>0.4919999999999991</v>
      </c>
      <c r="G27" s="9">
        <f t="shared" si="3"/>
        <v>0</v>
      </c>
      <c r="H27" s="9"/>
      <c r="I27" s="4" t="s">
        <v>10</v>
      </c>
      <c r="J27" s="4">
        <v>3462.3494379018412</v>
      </c>
    </row>
    <row r="28" spans="1:17" ht="16" thickBot="1" x14ac:dyDescent="0.25">
      <c r="A28">
        <v>65247</v>
      </c>
      <c r="B28" s="3" t="s">
        <v>4</v>
      </c>
      <c r="C28" s="3">
        <f t="shared" si="0"/>
        <v>0</v>
      </c>
      <c r="D28">
        <v>4</v>
      </c>
      <c r="E28" s="3">
        <f t="shared" si="1"/>
        <v>0</v>
      </c>
      <c r="F28" s="9">
        <f t="shared" si="2"/>
        <v>1.0919999999999992</v>
      </c>
      <c r="G28" s="9">
        <f t="shared" si="3"/>
        <v>0</v>
      </c>
      <c r="H28" s="9"/>
      <c r="I28" s="5" t="s">
        <v>11</v>
      </c>
      <c r="J28" s="5">
        <v>50</v>
      </c>
    </row>
    <row r="29" spans="1:17" x14ac:dyDescent="0.2">
      <c r="A29">
        <v>64653</v>
      </c>
      <c r="B29" s="3" t="s">
        <v>4</v>
      </c>
      <c r="C29" s="3">
        <f t="shared" si="0"/>
        <v>0</v>
      </c>
      <c r="D29">
        <v>4</v>
      </c>
      <c r="E29" s="3">
        <f t="shared" si="1"/>
        <v>0</v>
      </c>
      <c r="F29" s="9">
        <f t="shared" si="2"/>
        <v>1.0919999999999992</v>
      </c>
      <c r="G29" s="9">
        <f t="shared" si="3"/>
        <v>0</v>
      </c>
      <c r="H29" s="9"/>
    </row>
    <row r="30" spans="1:17" ht="16" thickBot="1" x14ac:dyDescent="0.25">
      <c r="A30">
        <v>65029</v>
      </c>
      <c r="B30" s="3" t="s">
        <v>4</v>
      </c>
      <c r="C30" s="3">
        <f t="shared" si="0"/>
        <v>0</v>
      </c>
      <c r="D30">
        <v>3.7</v>
      </c>
      <c r="E30" s="3">
        <f t="shared" si="1"/>
        <v>0</v>
      </c>
      <c r="F30" s="9">
        <f t="shared" si="2"/>
        <v>0.79199999999999937</v>
      </c>
      <c r="G30" s="9">
        <f t="shared" si="3"/>
        <v>0</v>
      </c>
      <c r="H30" s="9"/>
      <c r="I30" t="s">
        <v>12</v>
      </c>
    </row>
    <row r="31" spans="1:17" x14ac:dyDescent="0.2">
      <c r="A31">
        <v>59208</v>
      </c>
      <c r="B31" s="3" t="s">
        <v>3</v>
      </c>
      <c r="C31" s="3">
        <f t="shared" si="0"/>
        <v>1</v>
      </c>
      <c r="D31">
        <v>2.8</v>
      </c>
      <c r="E31" s="3">
        <f t="shared" si="1"/>
        <v>1</v>
      </c>
      <c r="F31" s="9">
        <f t="shared" si="2"/>
        <v>-0.10800000000000098</v>
      </c>
      <c r="G31" s="9">
        <f t="shared" si="3"/>
        <v>-0.10800000000000098</v>
      </c>
      <c r="H31" s="9"/>
      <c r="I31" s="6"/>
      <c r="J31" s="6" t="s">
        <v>17</v>
      </c>
      <c r="K31" s="6" t="s">
        <v>18</v>
      </c>
      <c r="L31" s="6" t="s">
        <v>19</v>
      </c>
      <c r="M31" s="6" t="s">
        <v>20</v>
      </c>
      <c r="N31" s="6" t="s">
        <v>21</v>
      </c>
    </row>
    <row r="32" spans="1:17" x14ac:dyDescent="0.2">
      <c r="A32">
        <v>52188</v>
      </c>
      <c r="B32" s="3" t="s">
        <v>3</v>
      </c>
      <c r="C32" s="3">
        <f t="shared" si="0"/>
        <v>1</v>
      </c>
      <c r="D32">
        <v>2.2999999999999998</v>
      </c>
      <c r="E32" s="3">
        <f t="shared" si="1"/>
        <v>1</v>
      </c>
      <c r="F32" s="9">
        <f t="shared" si="2"/>
        <v>-0.60800000000000098</v>
      </c>
      <c r="G32" s="9">
        <f t="shared" si="3"/>
        <v>-0.60800000000000098</v>
      </c>
      <c r="H32" s="9"/>
      <c r="I32" s="4" t="s">
        <v>13</v>
      </c>
      <c r="J32" s="4">
        <v>2</v>
      </c>
      <c r="K32" s="4">
        <v>1035936171.1634579</v>
      </c>
      <c r="L32" s="4">
        <v>517968085.58172894</v>
      </c>
      <c r="M32" s="4">
        <v>43.207705856736929</v>
      </c>
      <c r="N32" s="4">
        <v>2.2488404461362637E-11</v>
      </c>
    </row>
    <row r="33" spans="1:17" x14ac:dyDescent="0.2">
      <c r="A33">
        <v>59345</v>
      </c>
      <c r="B33" s="3" t="s">
        <v>4</v>
      </c>
      <c r="C33" s="3">
        <f t="shared" si="0"/>
        <v>0</v>
      </c>
      <c r="D33">
        <v>3.6</v>
      </c>
      <c r="E33" s="3">
        <f t="shared" si="1"/>
        <v>0</v>
      </c>
      <c r="F33" s="9">
        <f t="shared" si="2"/>
        <v>0.69199999999999928</v>
      </c>
      <c r="G33" s="9">
        <f t="shared" si="3"/>
        <v>0</v>
      </c>
      <c r="H33" s="9"/>
      <c r="I33" s="4" t="s">
        <v>14</v>
      </c>
      <c r="J33" s="4">
        <v>47</v>
      </c>
      <c r="K33" s="4">
        <v>563429590.6165421</v>
      </c>
      <c r="L33" s="4">
        <v>11987863.630139194</v>
      </c>
      <c r="M33" s="4"/>
      <c r="N33" s="4"/>
    </row>
    <row r="34" spans="1:17" ht="16" thickBot="1" x14ac:dyDescent="0.25">
      <c r="A34">
        <v>62223</v>
      </c>
      <c r="B34" s="3" t="s">
        <v>4</v>
      </c>
      <c r="C34" s="3">
        <f t="shared" si="0"/>
        <v>0</v>
      </c>
      <c r="D34">
        <v>2.4</v>
      </c>
      <c r="E34" s="3">
        <f t="shared" si="1"/>
        <v>0</v>
      </c>
      <c r="F34" s="9">
        <f t="shared" si="2"/>
        <v>-0.5080000000000009</v>
      </c>
      <c r="G34" s="9">
        <f t="shared" si="3"/>
        <v>0</v>
      </c>
      <c r="H34" s="9"/>
      <c r="I34" s="5" t="s">
        <v>15</v>
      </c>
      <c r="J34" s="5">
        <v>49</v>
      </c>
      <c r="K34" s="5">
        <v>1599365761.78</v>
      </c>
      <c r="L34" s="5"/>
      <c r="M34" s="5"/>
      <c r="N34" s="5"/>
    </row>
    <row r="35" spans="1:17" ht="16" thickBot="1" x14ac:dyDescent="0.25">
      <c r="A35">
        <v>51588</v>
      </c>
      <c r="B35" s="3" t="s">
        <v>3</v>
      </c>
      <c r="C35" s="3">
        <f t="shared" si="0"/>
        <v>1</v>
      </c>
      <c r="D35">
        <v>2.2999999999999998</v>
      </c>
      <c r="E35" s="3">
        <f t="shared" si="1"/>
        <v>1</v>
      </c>
      <c r="F35" s="9">
        <f t="shared" si="2"/>
        <v>-0.60800000000000098</v>
      </c>
      <c r="G35" s="9">
        <f t="shared" si="3"/>
        <v>-0.60800000000000098</v>
      </c>
      <c r="H35" s="9"/>
    </row>
    <row r="36" spans="1:17" x14ac:dyDescent="0.2">
      <c r="A36">
        <v>57087</v>
      </c>
      <c r="B36" s="3" t="s">
        <v>4</v>
      </c>
      <c r="C36" s="3">
        <f t="shared" si="0"/>
        <v>0</v>
      </c>
      <c r="D36">
        <v>3.2</v>
      </c>
      <c r="E36" s="3">
        <f t="shared" si="1"/>
        <v>0</v>
      </c>
      <c r="F36" s="9">
        <f t="shared" si="2"/>
        <v>0.29199999999999937</v>
      </c>
      <c r="G36" s="9">
        <f t="shared" si="3"/>
        <v>0</v>
      </c>
      <c r="H36" s="9"/>
      <c r="I36" s="6"/>
      <c r="J36" s="6" t="s">
        <v>22</v>
      </c>
      <c r="K36" s="6" t="s">
        <v>10</v>
      </c>
      <c r="L36" s="6" t="s">
        <v>23</v>
      </c>
      <c r="M36" s="6" t="s">
        <v>24</v>
      </c>
      <c r="N36" s="6" t="s">
        <v>25</v>
      </c>
      <c r="O36" s="6" t="s">
        <v>26</v>
      </c>
      <c r="P36" s="6" t="s">
        <v>27</v>
      </c>
      <c r="Q36" s="6" t="s">
        <v>28</v>
      </c>
    </row>
    <row r="37" spans="1:17" x14ac:dyDescent="0.2">
      <c r="A37">
        <v>58814</v>
      </c>
      <c r="B37" s="3" t="s">
        <v>4</v>
      </c>
      <c r="C37" s="3">
        <f t="shared" si="0"/>
        <v>0</v>
      </c>
      <c r="D37">
        <v>3.1</v>
      </c>
      <c r="E37" s="3">
        <f t="shared" si="1"/>
        <v>0</v>
      </c>
      <c r="F37" s="9">
        <f t="shared" si="2"/>
        <v>0.19199999999999928</v>
      </c>
      <c r="G37" s="9">
        <f t="shared" si="3"/>
        <v>0</v>
      </c>
      <c r="H37" s="9"/>
      <c r="I37" s="4" t="s">
        <v>16</v>
      </c>
      <c r="J37" s="8">
        <v>60629.752077457379</v>
      </c>
      <c r="K37" s="4">
        <v>821.53115715620311</v>
      </c>
      <c r="L37" s="4">
        <v>73.800916190850501</v>
      </c>
      <c r="M37" s="4">
        <v>2.9721856540591024E-50</v>
      </c>
      <c r="N37" s="4">
        <v>58977.044565314951</v>
      </c>
      <c r="O37" s="4">
        <v>62282.459589599806</v>
      </c>
      <c r="P37" s="4">
        <v>58977.044565314951</v>
      </c>
      <c r="Q37" s="4">
        <v>62282.459589599806</v>
      </c>
    </row>
    <row r="38" spans="1:17" x14ac:dyDescent="0.2">
      <c r="A38">
        <v>66488</v>
      </c>
      <c r="B38" s="3" t="s">
        <v>4</v>
      </c>
      <c r="C38" s="3">
        <f t="shared" si="0"/>
        <v>0</v>
      </c>
      <c r="D38">
        <v>3.3</v>
      </c>
      <c r="E38" s="3">
        <f t="shared" si="1"/>
        <v>0</v>
      </c>
      <c r="F38" s="9">
        <f t="shared" si="2"/>
        <v>0.39199999999999902</v>
      </c>
      <c r="G38" s="9">
        <f t="shared" si="3"/>
        <v>0</v>
      </c>
      <c r="H38" s="9"/>
      <c r="I38" s="4" t="s">
        <v>3</v>
      </c>
      <c r="J38" s="8">
        <v>-5144.7441549147525</v>
      </c>
      <c r="K38" s="4">
        <v>1319.3273582786455</v>
      </c>
      <c r="L38" s="4">
        <v>-3.8995205569201641</v>
      </c>
      <c r="M38" s="4">
        <v>3.0517728013208789E-4</v>
      </c>
      <c r="N38" s="4">
        <v>-7798.888452435971</v>
      </c>
      <c r="O38" s="4">
        <v>-2490.599857393534</v>
      </c>
      <c r="P38" s="4">
        <v>-7798.888452435971</v>
      </c>
      <c r="Q38" s="4">
        <v>-2490.599857393534</v>
      </c>
    </row>
    <row r="39" spans="1:17" ht="16" thickBot="1" x14ac:dyDescent="0.25">
      <c r="A39">
        <v>56402</v>
      </c>
      <c r="B39" s="3" t="s">
        <v>3</v>
      </c>
      <c r="C39" s="3">
        <f t="shared" si="0"/>
        <v>1</v>
      </c>
      <c r="D39">
        <v>2.6</v>
      </c>
      <c r="E39" s="3">
        <f t="shared" si="1"/>
        <v>1</v>
      </c>
      <c r="F39" s="9">
        <f t="shared" si="2"/>
        <v>-0.30800000000000072</v>
      </c>
      <c r="G39" s="9">
        <f t="shared" si="3"/>
        <v>-0.30800000000000072</v>
      </c>
      <c r="H39" s="9"/>
      <c r="I39" s="5" t="s">
        <v>29</v>
      </c>
      <c r="J39" s="5">
        <v>4584.4543254051841</v>
      </c>
      <c r="K39" s="5">
        <v>1255.7939615082892</v>
      </c>
      <c r="L39" s="5">
        <v>3.6506421164017704</v>
      </c>
      <c r="M39" s="5">
        <v>6.5552134782912255E-4</v>
      </c>
      <c r="N39" s="5">
        <v>2058.1227361417596</v>
      </c>
      <c r="O39" s="5">
        <v>7110.7859146686087</v>
      </c>
      <c r="P39" s="5">
        <v>2058.1227361417596</v>
      </c>
      <c r="Q39" s="5">
        <v>7110.7859146686087</v>
      </c>
    </row>
    <row r="40" spans="1:17" x14ac:dyDescent="0.2">
      <c r="A40">
        <v>58044</v>
      </c>
      <c r="B40" s="3" t="s">
        <v>4</v>
      </c>
      <c r="C40" s="3">
        <f t="shared" si="0"/>
        <v>0</v>
      </c>
      <c r="D40">
        <v>2.4</v>
      </c>
      <c r="E40" s="3">
        <f t="shared" si="1"/>
        <v>0</v>
      </c>
      <c r="F40" s="9">
        <f t="shared" si="2"/>
        <v>-0.5080000000000009</v>
      </c>
      <c r="G40" s="9">
        <f t="shared" si="3"/>
        <v>0</v>
      </c>
      <c r="H40" s="9"/>
    </row>
    <row r="41" spans="1:17" x14ac:dyDescent="0.2">
      <c r="A41">
        <v>62889</v>
      </c>
      <c r="B41" s="3" t="s">
        <v>4</v>
      </c>
      <c r="C41" s="3">
        <f t="shared" si="0"/>
        <v>0</v>
      </c>
      <c r="D41">
        <v>2.7</v>
      </c>
      <c r="E41" s="3">
        <f t="shared" si="1"/>
        <v>0</v>
      </c>
      <c r="F41" s="9">
        <f t="shared" si="2"/>
        <v>-0.20800000000000063</v>
      </c>
      <c r="G41" s="9">
        <f t="shared" si="3"/>
        <v>0</v>
      </c>
      <c r="H41" s="9"/>
      <c r="I41" t="s">
        <v>5</v>
      </c>
    </row>
    <row r="42" spans="1:17" ht="16" thickBot="1" x14ac:dyDescent="0.25">
      <c r="A42">
        <v>64181</v>
      </c>
      <c r="B42" s="3" t="s">
        <v>4</v>
      </c>
      <c r="C42" s="3">
        <f t="shared" si="0"/>
        <v>0</v>
      </c>
      <c r="D42">
        <v>2.8</v>
      </c>
      <c r="E42" s="3">
        <f t="shared" si="1"/>
        <v>0</v>
      </c>
      <c r="F42" s="9">
        <f t="shared" si="2"/>
        <v>-0.10800000000000098</v>
      </c>
      <c r="G42" s="9">
        <f t="shared" si="3"/>
        <v>0</v>
      </c>
      <c r="H42" s="9"/>
    </row>
    <row r="43" spans="1:17" x14ac:dyDescent="0.2">
      <c r="A43">
        <v>59516</v>
      </c>
      <c r="B43" s="3" t="s">
        <v>3</v>
      </c>
      <c r="C43" s="3">
        <f t="shared" si="0"/>
        <v>1</v>
      </c>
      <c r="D43">
        <v>3.2</v>
      </c>
      <c r="E43" s="3">
        <f t="shared" si="1"/>
        <v>1</v>
      </c>
      <c r="F43" s="9">
        <f t="shared" si="2"/>
        <v>0.29199999999999937</v>
      </c>
      <c r="G43" s="9">
        <f t="shared" si="3"/>
        <v>0.29199999999999937</v>
      </c>
      <c r="H43" s="9"/>
      <c r="I43" s="7" t="s">
        <v>6</v>
      </c>
      <c r="J43" s="7"/>
    </row>
    <row r="44" spans="1:17" x14ac:dyDescent="0.2">
      <c r="A44">
        <v>54800</v>
      </c>
      <c r="B44" s="3" t="s">
        <v>3</v>
      </c>
      <c r="C44" s="3">
        <f t="shared" si="0"/>
        <v>1</v>
      </c>
      <c r="D44">
        <v>2.9</v>
      </c>
      <c r="E44" s="3">
        <f t="shared" si="1"/>
        <v>1</v>
      </c>
      <c r="F44" s="9">
        <f t="shared" si="2"/>
        <v>-8.0000000000008953E-3</v>
      </c>
      <c r="G44" s="9">
        <f t="shared" si="3"/>
        <v>-8.0000000000008953E-3</v>
      </c>
      <c r="H44" s="9"/>
      <c r="I44" s="4" t="s">
        <v>7</v>
      </c>
      <c r="J44" s="4">
        <v>0.8362680409847647</v>
      </c>
    </row>
    <row r="45" spans="1:17" x14ac:dyDescent="0.2">
      <c r="A45">
        <v>61401</v>
      </c>
      <c r="B45" s="3" t="s">
        <v>4</v>
      </c>
      <c r="C45" s="3">
        <f t="shared" si="0"/>
        <v>0</v>
      </c>
      <c r="D45">
        <v>3</v>
      </c>
      <c r="E45" s="3">
        <f t="shared" si="1"/>
        <v>0</v>
      </c>
      <c r="F45" s="9">
        <f t="shared" si="2"/>
        <v>9.1999999999999194E-2</v>
      </c>
      <c r="G45" s="9">
        <f t="shared" si="3"/>
        <v>0</v>
      </c>
      <c r="H45" s="9"/>
      <c r="I45" s="4" t="s">
        <v>8</v>
      </c>
      <c r="J45" s="4">
        <v>0.6993442363724961</v>
      </c>
    </row>
    <row r="46" spans="1:17" x14ac:dyDescent="0.2">
      <c r="A46">
        <v>53636</v>
      </c>
      <c r="B46" s="3" t="s">
        <v>3</v>
      </c>
      <c r="C46" s="3">
        <f t="shared" si="0"/>
        <v>1</v>
      </c>
      <c r="D46">
        <v>2.6</v>
      </c>
      <c r="E46" s="3">
        <f t="shared" si="1"/>
        <v>1</v>
      </c>
      <c r="F46" s="9">
        <f t="shared" si="2"/>
        <v>-0.30800000000000072</v>
      </c>
      <c r="G46" s="9">
        <f t="shared" si="3"/>
        <v>-0.30800000000000072</v>
      </c>
      <c r="H46" s="9"/>
      <c r="I46" s="4" t="s">
        <v>9</v>
      </c>
      <c r="J46" s="4">
        <v>0.6797362517880936</v>
      </c>
    </row>
    <row r="47" spans="1:17" x14ac:dyDescent="0.2">
      <c r="A47">
        <v>49878</v>
      </c>
      <c r="B47" s="3" t="s">
        <v>3</v>
      </c>
      <c r="C47" s="3">
        <f t="shared" si="0"/>
        <v>1</v>
      </c>
      <c r="D47">
        <v>2.2999999999999998</v>
      </c>
      <c r="E47" s="3">
        <f t="shared" si="1"/>
        <v>1</v>
      </c>
      <c r="F47" s="9">
        <f t="shared" si="2"/>
        <v>-0.60800000000000098</v>
      </c>
      <c r="G47" s="9">
        <f t="shared" si="3"/>
        <v>-0.60800000000000098</v>
      </c>
      <c r="H47" s="9"/>
      <c r="I47" s="4" t="s">
        <v>10</v>
      </c>
      <c r="J47" s="4">
        <v>3233.1789929728752</v>
      </c>
    </row>
    <row r="48" spans="1:17" ht="16" thickBot="1" x14ac:dyDescent="0.25">
      <c r="A48">
        <v>60924</v>
      </c>
      <c r="B48" s="3" t="s">
        <v>4</v>
      </c>
      <c r="C48" s="3">
        <f t="shared" si="0"/>
        <v>0</v>
      </c>
      <c r="D48">
        <v>3.6</v>
      </c>
      <c r="E48" s="3">
        <f t="shared" si="1"/>
        <v>0</v>
      </c>
      <c r="F48" s="9">
        <f t="shared" si="2"/>
        <v>0.69199999999999928</v>
      </c>
      <c r="G48" s="9">
        <f t="shared" si="3"/>
        <v>0</v>
      </c>
      <c r="H48" s="9"/>
      <c r="I48" s="5" t="s">
        <v>11</v>
      </c>
      <c r="J48" s="5">
        <v>50</v>
      </c>
    </row>
    <row r="49" spans="1:17" x14ac:dyDescent="0.2">
      <c r="A49">
        <v>56846</v>
      </c>
      <c r="B49" s="3" t="s">
        <v>3</v>
      </c>
      <c r="C49" s="3">
        <f t="shared" si="0"/>
        <v>1</v>
      </c>
      <c r="D49">
        <v>2.4</v>
      </c>
      <c r="E49" s="3">
        <f t="shared" si="1"/>
        <v>1</v>
      </c>
      <c r="F49" s="9">
        <f t="shared" si="2"/>
        <v>-0.5080000000000009</v>
      </c>
      <c r="G49" s="9">
        <f t="shared" si="3"/>
        <v>-0.5080000000000009</v>
      </c>
      <c r="H49" s="9"/>
    </row>
    <row r="50" spans="1:17" ht="16" thickBot="1" x14ac:dyDescent="0.25">
      <c r="A50">
        <v>55780</v>
      </c>
      <c r="B50" s="3" t="s">
        <v>3</v>
      </c>
      <c r="C50" s="3">
        <f t="shared" si="0"/>
        <v>1</v>
      </c>
      <c r="D50">
        <v>2.9</v>
      </c>
      <c r="E50" s="3">
        <f t="shared" si="1"/>
        <v>1</v>
      </c>
      <c r="F50" s="9">
        <f t="shared" si="2"/>
        <v>-8.0000000000008953E-3</v>
      </c>
      <c r="G50" s="9">
        <f t="shared" si="3"/>
        <v>-8.0000000000008953E-3</v>
      </c>
      <c r="H50" s="9"/>
      <c r="I50" t="s">
        <v>12</v>
      </c>
    </row>
    <row r="51" spans="1:17" x14ac:dyDescent="0.2">
      <c r="A51">
        <v>64609</v>
      </c>
      <c r="B51" s="3" t="s">
        <v>4</v>
      </c>
      <c r="C51" s="3">
        <f t="shared" si="0"/>
        <v>0</v>
      </c>
      <c r="D51">
        <v>4</v>
      </c>
      <c r="E51" s="3">
        <f t="shared" si="1"/>
        <v>0</v>
      </c>
      <c r="F51" s="9">
        <f t="shared" si="2"/>
        <v>1.0919999999999992</v>
      </c>
      <c r="G51" s="9">
        <f t="shared" si="3"/>
        <v>0</v>
      </c>
      <c r="H51" s="9"/>
      <c r="I51" s="6"/>
      <c r="J51" s="6" t="s">
        <v>17</v>
      </c>
      <c r="K51" s="6" t="s">
        <v>18</v>
      </c>
      <c r="L51" s="6" t="s">
        <v>19</v>
      </c>
      <c r="M51" s="6" t="s">
        <v>20</v>
      </c>
      <c r="N51" s="6" t="s">
        <v>21</v>
      </c>
    </row>
    <row r="52" spans="1:17" x14ac:dyDescent="0.2">
      <c r="I52" s="4" t="s">
        <v>13</v>
      </c>
      <c r="J52" s="4">
        <v>3</v>
      </c>
      <c r="K52" s="4">
        <v>1118507227.3523495</v>
      </c>
      <c r="L52" s="4">
        <v>372835742.45078319</v>
      </c>
      <c r="M52" s="4">
        <v>35.666298765289923</v>
      </c>
      <c r="N52" s="4">
        <v>4.5928656868766087E-12</v>
      </c>
    </row>
    <row r="53" spans="1:17" x14ac:dyDescent="0.2">
      <c r="I53" s="4" t="s">
        <v>14</v>
      </c>
      <c r="J53" s="4">
        <v>46</v>
      </c>
      <c r="K53" s="4">
        <v>480858534.42765039</v>
      </c>
      <c r="L53" s="4">
        <v>10453446.400601095</v>
      </c>
      <c r="M53" s="4"/>
      <c r="N53" s="4"/>
    </row>
    <row r="54" spans="1:17" ht="16" thickBot="1" x14ac:dyDescent="0.25">
      <c r="I54" s="5" t="s">
        <v>15</v>
      </c>
      <c r="J54" s="5">
        <v>49</v>
      </c>
      <c r="K54" s="5">
        <v>1599365761.78</v>
      </c>
      <c r="L54" s="5"/>
      <c r="M54" s="5"/>
      <c r="N54" s="5"/>
    </row>
    <row r="55" spans="1:17" ht="16" thickBot="1" x14ac:dyDescent="0.25"/>
    <row r="56" spans="1:17" x14ac:dyDescent="0.2">
      <c r="I56" s="6"/>
      <c r="J56" s="6" t="s">
        <v>22</v>
      </c>
      <c r="K56" s="6" t="s">
        <v>10</v>
      </c>
      <c r="L56" s="6" t="s">
        <v>23</v>
      </c>
      <c r="M56" s="6" t="s">
        <v>24</v>
      </c>
      <c r="N56" s="6" t="s">
        <v>25</v>
      </c>
      <c r="O56" s="6" t="s">
        <v>26</v>
      </c>
      <c r="P56" s="6" t="s">
        <v>27</v>
      </c>
      <c r="Q56" s="6" t="s">
        <v>28</v>
      </c>
    </row>
    <row r="57" spans="1:17" x14ac:dyDescent="0.2">
      <c r="I57" s="4" t="s">
        <v>16</v>
      </c>
      <c r="J57" s="4">
        <v>61418.163200000003</v>
      </c>
      <c r="K57" s="4">
        <v>816.83496522401595</v>
      </c>
      <c r="L57" s="4">
        <v>75.190418890988767</v>
      </c>
      <c r="M57" s="4">
        <v>8.4898130568805684E-50</v>
      </c>
      <c r="N57" s="4">
        <v>59773.959693457073</v>
      </c>
      <c r="O57" s="4">
        <v>63062.366706542933</v>
      </c>
      <c r="P57" s="4">
        <v>59773.959693457073</v>
      </c>
      <c r="Q57" s="4">
        <v>63062.366706542933</v>
      </c>
    </row>
    <row r="58" spans="1:17" x14ac:dyDescent="0.2">
      <c r="I58" s="4" t="s">
        <v>3</v>
      </c>
      <c r="J58" s="4">
        <v>-4226.0692359760078</v>
      </c>
      <c r="K58" s="4">
        <v>1274.6271080514109</v>
      </c>
      <c r="L58" s="4">
        <v>-3.3155337818262947</v>
      </c>
      <c r="M58" s="4">
        <v>1.7909138635026454E-3</v>
      </c>
      <c r="N58" s="4">
        <v>-6791.7605320360935</v>
      </c>
      <c r="O58" s="4">
        <v>-1660.3779399159221</v>
      </c>
      <c r="P58" s="4">
        <v>-6791.7605320360935</v>
      </c>
      <c r="Q58" s="4">
        <v>-1660.3779399159221</v>
      </c>
    </row>
    <row r="59" spans="1:17" x14ac:dyDescent="0.2">
      <c r="I59" s="4" t="s">
        <v>29</v>
      </c>
      <c r="J59" s="4">
        <v>2344.650000000006</v>
      </c>
      <c r="K59" s="4">
        <v>1417.8427818209432</v>
      </c>
      <c r="L59" s="4">
        <v>1.6536741802844737</v>
      </c>
      <c r="M59" s="4">
        <v>0.105003112175495</v>
      </c>
      <c r="N59" s="4">
        <v>-509.31949548705205</v>
      </c>
      <c r="O59" s="4">
        <v>5198.6194954870643</v>
      </c>
      <c r="P59" s="4">
        <v>-509.31949548705205</v>
      </c>
      <c r="Q59" s="4">
        <v>5198.6194954870643</v>
      </c>
    </row>
    <row r="60" spans="1:17" ht="16" thickBot="1" x14ac:dyDescent="0.25">
      <c r="I60" s="5" t="s">
        <v>30</v>
      </c>
      <c r="J60" s="14">
        <v>7089.4805796135906</v>
      </c>
      <c r="K60" s="5">
        <v>2522.4946026307593</v>
      </c>
      <c r="L60" s="5">
        <v>2.8105037656849023</v>
      </c>
      <c r="M60" s="5">
        <v>7.2424528754093795E-3</v>
      </c>
      <c r="N60" s="5">
        <v>2011.9622956801188</v>
      </c>
      <c r="O60" s="5">
        <v>12166.998863547062</v>
      </c>
      <c r="P60" s="5">
        <v>2011.9622956801188</v>
      </c>
      <c r="Q60" s="5">
        <v>12166.998863547062</v>
      </c>
    </row>
    <row r="63" spans="1:17" x14ac:dyDescent="0.2">
      <c r="I63" t="s">
        <v>31</v>
      </c>
    </row>
    <row r="65" spans="9:17" x14ac:dyDescent="0.2">
      <c r="I65" t="s">
        <v>32</v>
      </c>
    </row>
    <row r="67" spans="9:17" x14ac:dyDescent="0.2">
      <c r="I67" t="s">
        <v>33</v>
      </c>
    </row>
    <row r="73" spans="9:17" x14ac:dyDescent="0.2">
      <c r="I73" s="9"/>
      <c r="J73" s="9"/>
      <c r="K73" s="9"/>
      <c r="L73" s="9"/>
      <c r="M73" s="9"/>
      <c r="N73" s="9"/>
      <c r="O73" s="9"/>
      <c r="P73" s="9"/>
      <c r="Q73" s="9"/>
    </row>
    <row r="74" spans="9:17" x14ac:dyDescent="0.2">
      <c r="I74" s="9"/>
      <c r="J74" s="9"/>
      <c r="K74" s="9"/>
      <c r="L74" s="9"/>
      <c r="M74" s="9"/>
      <c r="N74" s="9"/>
      <c r="O74" s="9"/>
      <c r="P74" s="9"/>
      <c r="Q74" s="9"/>
    </row>
    <row r="75" spans="9:17" x14ac:dyDescent="0.2">
      <c r="I75" s="10"/>
      <c r="J75" s="10"/>
      <c r="K75" s="9"/>
      <c r="L75" s="9"/>
      <c r="M75" s="9"/>
      <c r="N75" s="9"/>
      <c r="O75" s="9"/>
      <c r="P75" s="9"/>
      <c r="Q75" s="9"/>
    </row>
    <row r="76" spans="9:17" x14ac:dyDescent="0.2">
      <c r="I76" s="4"/>
      <c r="J76" s="4"/>
      <c r="K76" s="9"/>
      <c r="L76" s="9"/>
      <c r="M76" s="9"/>
      <c r="N76" s="9"/>
      <c r="O76" s="9"/>
      <c r="P76" s="9"/>
      <c r="Q76" s="9"/>
    </row>
    <row r="77" spans="9:17" x14ac:dyDescent="0.2">
      <c r="I77" s="4"/>
      <c r="J77" s="4"/>
      <c r="K77" s="9"/>
      <c r="L77" s="9"/>
      <c r="M77" s="9"/>
      <c r="N77" s="9"/>
      <c r="O77" s="9"/>
      <c r="P77" s="9"/>
      <c r="Q77" s="9"/>
    </row>
    <row r="78" spans="9:17" x14ac:dyDescent="0.2">
      <c r="I78" s="4"/>
      <c r="J78" s="4"/>
      <c r="K78" s="9"/>
      <c r="L78" s="9"/>
      <c r="M78" s="9"/>
      <c r="N78" s="9"/>
      <c r="O78" s="9"/>
      <c r="P78" s="9"/>
      <c r="Q78" s="9"/>
    </row>
    <row r="79" spans="9:17" x14ac:dyDescent="0.2">
      <c r="I79" s="4"/>
      <c r="J79" s="4"/>
      <c r="K79" s="9"/>
      <c r="L79" s="9"/>
      <c r="M79" s="9"/>
      <c r="N79" s="9"/>
      <c r="O79" s="9"/>
      <c r="P79" s="9"/>
      <c r="Q79" s="9"/>
    </row>
    <row r="80" spans="9:17" x14ac:dyDescent="0.2">
      <c r="I80" s="4"/>
      <c r="J80" s="4"/>
      <c r="K80" s="9"/>
      <c r="L80" s="9"/>
      <c r="M80" s="9"/>
      <c r="N80" s="9"/>
      <c r="O80" s="9"/>
      <c r="P80" s="9"/>
      <c r="Q80" s="9"/>
    </row>
    <row r="81" spans="9:17" x14ac:dyDescent="0.2">
      <c r="I81" s="9"/>
      <c r="J81" s="9"/>
      <c r="K81" s="9"/>
      <c r="L81" s="9"/>
      <c r="M81" s="9"/>
      <c r="N81" s="9"/>
      <c r="O81" s="9"/>
      <c r="P81" s="9"/>
      <c r="Q81" s="9"/>
    </row>
    <row r="82" spans="9:17" x14ac:dyDescent="0.2">
      <c r="I82" s="9"/>
      <c r="J82" s="9"/>
      <c r="K82" s="9"/>
      <c r="L82" s="9"/>
      <c r="M82" s="9"/>
      <c r="N82" s="9"/>
      <c r="O82" s="9"/>
      <c r="P82" s="9"/>
      <c r="Q82" s="9"/>
    </row>
    <row r="83" spans="9:17" x14ac:dyDescent="0.2">
      <c r="I83" s="11"/>
      <c r="J83" s="11"/>
      <c r="K83" s="11"/>
      <c r="L83" s="11"/>
      <c r="M83" s="11"/>
      <c r="N83" s="11"/>
      <c r="O83" s="9"/>
      <c r="P83" s="9"/>
      <c r="Q83" s="9"/>
    </row>
    <row r="84" spans="9:17" x14ac:dyDescent="0.2">
      <c r="I84" s="4"/>
      <c r="J84" s="4"/>
      <c r="K84" s="4"/>
      <c r="L84" s="4"/>
      <c r="M84" s="4"/>
      <c r="N84" s="4"/>
      <c r="O84" s="9"/>
      <c r="P84" s="9"/>
      <c r="Q84" s="9"/>
    </row>
    <row r="85" spans="9:17" x14ac:dyDescent="0.2">
      <c r="I85" s="4"/>
      <c r="J85" s="4"/>
      <c r="K85" s="4"/>
      <c r="L85" s="4"/>
      <c r="M85" s="4"/>
      <c r="N85" s="4"/>
      <c r="O85" s="9"/>
      <c r="P85" s="9"/>
      <c r="Q85" s="9"/>
    </row>
    <row r="86" spans="9:17" x14ac:dyDescent="0.2">
      <c r="I86" s="4"/>
      <c r="J86" s="4"/>
      <c r="K86" s="4"/>
      <c r="L86" s="4"/>
      <c r="M86" s="4"/>
      <c r="N86" s="4"/>
      <c r="O86" s="9"/>
      <c r="P86" s="9"/>
      <c r="Q86" s="9"/>
    </row>
    <row r="87" spans="9:17" x14ac:dyDescent="0.2">
      <c r="I87" s="9"/>
      <c r="J87" s="9"/>
      <c r="K87" s="9"/>
      <c r="L87" s="9"/>
      <c r="M87" s="9"/>
      <c r="N87" s="9"/>
      <c r="O87" s="9"/>
      <c r="P87" s="9"/>
      <c r="Q87" s="9"/>
    </row>
    <row r="88" spans="9:17" x14ac:dyDescent="0.2">
      <c r="I88" s="11"/>
      <c r="J88" s="11"/>
      <c r="K88" s="11"/>
      <c r="L88" s="11"/>
      <c r="M88" s="11"/>
      <c r="N88" s="11"/>
      <c r="O88" s="11"/>
      <c r="P88" s="11"/>
      <c r="Q88" s="11"/>
    </row>
    <row r="89" spans="9:17" x14ac:dyDescent="0.2">
      <c r="I89" s="4"/>
      <c r="J89" s="8"/>
      <c r="K89" s="4"/>
      <c r="L89" s="4"/>
      <c r="M89" s="4"/>
      <c r="N89" s="4"/>
      <c r="O89" s="4"/>
      <c r="P89" s="4"/>
      <c r="Q89" s="4"/>
    </row>
    <row r="90" spans="9:17" x14ac:dyDescent="0.2">
      <c r="I90" s="4"/>
      <c r="J90" s="8"/>
      <c r="K90" s="4"/>
      <c r="L90" s="4"/>
      <c r="M90" s="4"/>
      <c r="N90" s="4"/>
      <c r="O90" s="4"/>
      <c r="P90" s="4"/>
      <c r="Q90" s="4"/>
    </row>
    <row r="91" spans="9:17" x14ac:dyDescent="0.2">
      <c r="I91" s="4"/>
      <c r="J91" s="4"/>
      <c r="K91" s="4"/>
      <c r="L91" s="4"/>
      <c r="M91" s="4"/>
      <c r="N91" s="4"/>
      <c r="O91" s="4"/>
      <c r="P91" s="4"/>
      <c r="Q91" s="4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2017-02-02T07:55:17Z</dcterms:created>
  <dcterms:modified xsi:type="dcterms:W3CDTF">2026-09-16T17:02:09Z</dcterms:modified>
</cp:coreProperties>
</file>